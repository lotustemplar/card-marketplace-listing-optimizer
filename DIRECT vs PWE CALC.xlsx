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ilip\Dropbox\MTG\"/>
    </mc:Choice>
  </mc:AlternateContent>
  <xr:revisionPtr revIDLastSave="0" documentId="13_ncr:1_{86DE0923-3BDF-4712-BAC6-80718B095B0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FeeSchedule" sheetId="1" r:id="rId1"/>
    <sheet name="tax and shipping setting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4" i="1" l="1"/>
  <c r="J194" i="1" s="1"/>
  <c r="E194" i="1"/>
  <c r="D194" i="1"/>
  <c r="G194" i="1" s="1"/>
  <c r="K194" i="1" s="1"/>
  <c r="C194" i="1"/>
  <c r="B194" i="1"/>
  <c r="C193" i="1"/>
  <c r="H193" i="1" s="1"/>
  <c r="J193" i="1" s="1"/>
  <c r="B193" i="1"/>
  <c r="B192" i="1"/>
  <c r="D191" i="1"/>
  <c r="C191" i="1"/>
  <c r="H191" i="1" s="1"/>
  <c r="J191" i="1" s="1"/>
  <c r="B191" i="1"/>
  <c r="B190" i="1"/>
  <c r="D189" i="1"/>
  <c r="C189" i="1"/>
  <c r="H189" i="1" s="1"/>
  <c r="J189" i="1" s="1"/>
  <c r="B189" i="1"/>
  <c r="D188" i="1"/>
  <c r="B188" i="1"/>
  <c r="B187" i="1"/>
  <c r="D186" i="1"/>
  <c r="C186" i="1"/>
  <c r="H186" i="1" s="1"/>
  <c r="J186" i="1" s="1"/>
  <c r="B186" i="1"/>
  <c r="D185" i="1"/>
  <c r="B185" i="1"/>
  <c r="C184" i="1"/>
  <c r="H184" i="1" s="1"/>
  <c r="J184" i="1" s="1"/>
  <c r="B184" i="1"/>
  <c r="B183" i="1"/>
  <c r="D182" i="1"/>
  <c r="B182" i="1"/>
  <c r="C182" i="1" s="1"/>
  <c r="B181" i="1"/>
  <c r="J180" i="1"/>
  <c r="H180" i="1"/>
  <c r="D180" i="1"/>
  <c r="C180" i="1"/>
  <c r="E180" i="1" s="1"/>
  <c r="B180" i="1"/>
  <c r="B179" i="1"/>
  <c r="D178" i="1"/>
  <c r="C178" i="1"/>
  <c r="H178" i="1" s="1"/>
  <c r="J178" i="1" s="1"/>
  <c r="L178" i="1" s="1"/>
  <c r="B178" i="1"/>
  <c r="J177" i="1"/>
  <c r="H177" i="1"/>
  <c r="E177" i="1"/>
  <c r="D177" i="1"/>
  <c r="G177" i="1" s="1"/>
  <c r="K177" i="1" s="1"/>
  <c r="C177" i="1"/>
  <c r="B177" i="1"/>
  <c r="B176" i="1"/>
  <c r="B175" i="1"/>
  <c r="D175" i="1" s="1"/>
  <c r="E174" i="1"/>
  <c r="G174" i="1" s="1"/>
  <c r="K174" i="1" s="1"/>
  <c r="D174" i="1"/>
  <c r="B174" i="1"/>
  <c r="C174" i="1" s="1"/>
  <c r="H174" i="1" s="1"/>
  <c r="J174" i="1" s="1"/>
  <c r="B173" i="1"/>
  <c r="H172" i="1"/>
  <c r="J172" i="1" s="1"/>
  <c r="L172" i="1" s="1"/>
  <c r="D172" i="1"/>
  <c r="C172" i="1"/>
  <c r="E172" i="1" s="1"/>
  <c r="B172" i="1"/>
  <c r="B171" i="1"/>
  <c r="B170" i="1"/>
  <c r="D170" i="1" s="1"/>
  <c r="B169" i="1"/>
  <c r="B168" i="1"/>
  <c r="B167" i="1"/>
  <c r="D166" i="1"/>
  <c r="C166" i="1"/>
  <c r="H166" i="1" s="1"/>
  <c r="J166" i="1" s="1"/>
  <c r="B166" i="1"/>
  <c r="B165" i="1"/>
  <c r="D164" i="1"/>
  <c r="C164" i="1"/>
  <c r="H164" i="1" s="1"/>
  <c r="J164" i="1" s="1"/>
  <c r="B164" i="1"/>
  <c r="D163" i="1"/>
  <c r="B163" i="1"/>
  <c r="C163" i="1" s="1"/>
  <c r="D162" i="1"/>
  <c r="B162" i="1"/>
  <c r="J161" i="1"/>
  <c r="H161" i="1"/>
  <c r="E161" i="1"/>
  <c r="D161" i="1"/>
  <c r="G161" i="1" s="1"/>
  <c r="K161" i="1" s="1"/>
  <c r="C161" i="1"/>
  <c r="B161" i="1"/>
  <c r="C160" i="1"/>
  <c r="H160" i="1" s="1"/>
  <c r="J160" i="1" s="1"/>
  <c r="B160" i="1"/>
  <c r="E160" i="1" s="1"/>
  <c r="D159" i="1"/>
  <c r="B159" i="1"/>
  <c r="H158" i="1"/>
  <c r="J158" i="1" s="1"/>
  <c r="G158" i="1"/>
  <c r="K158" i="1" s="1"/>
  <c r="E158" i="1"/>
  <c r="D158" i="1"/>
  <c r="B158" i="1"/>
  <c r="C158" i="1" s="1"/>
  <c r="C157" i="1"/>
  <c r="H157" i="1" s="1"/>
  <c r="J157" i="1" s="1"/>
  <c r="B157" i="1"/>
  <c r="E157" i="1" s="1"/>
  <c r="B156" i="1"/>
  <c r="B155" i="1"/>
  <c r="D154" i="1"/>
  <c r="B154" i="1"/>
  <c r="C153" i="1"/>
  <c r="H153" i="1" s="1"/>
  <c r="J153" i="1" s="1"/>
  <c r="B153" i="1"/>
  <c r="E153" i="1" s="1"/>
  <c r="B152" i="1"/>
  <c r="H151" i="1"/>
  <c r="J151" i="1" s="1"/>
  <c r="G151" i="1"/>
  <c r="K151" i="1" s="1"/>
  <c r="E151" i="1"/>
  <c r="D151" i="1"/>
  <c r="C151" i="1"/>
  <c r="B151" i="1"/>
  <c r="D150" i="1"/>
  <c r="B150" i="1"/>
  <c r="J149" i="1"/>
  <c r="D149" i="1"/>
  <c r="C149" i="1"/>
  <c r="H149" i="1" s="1"/>
  <c r="B149" i="1"/>
  <c r="H148" i="1"/>
  <c r="J148" i="1" s="1"/>
  <c r="D148" i="1"/>
  <c r="C148" i="1"/>
  <c r="E148" i="1" s="1"/>
  <c r="B148" i="1"/>
  <c r="D146" i="1"/>
  <c r="C146" i="1"/>
  <c r="H146" i="1" s="1"/>
  <c r="J146" i="1" s="1"/>
  <c r="B146" i="1"/>
  <c r="B145" i="1"/>
  <c r="H144" i="1"/>
  <c r="J144" i="1" s="1"/>
  <c r="G144" i="1"/>
  <c r="K144" i="1" s="1"/>
  <c r="E144" i="1"/>
  <c r="D144" i="1"/>
  <c r="C144" i="1"/>
  <c r="B144" i="1"/>
  <c r="B143" i="1"/>
  <c r="D143" i="1" s="1"/>
  <c r="B142" i="1"/>
  <c r="D141" i="1"/>
  <c r="B141" i="1"/>
  <c r="C141" i="1" s="1"/>
  <c r="H141" i="1" s="1"/>
  <c r="J141" i="1" s="1"/>
  <c r="H140" i="1"/>
  <c r="J140" i="1" s="1"/>
  <c r="D140" i="1"/>
  <c r="C140" i="1"/>
  <c r="E140" i="1" s="1"/>
  <c r="B140" i="1"/>
  <c r="B139" i="1"/>
  <c r="B138" i="1"/>
  <c r="B137" i="1"/>
  <c r="B136" i="1"/>
  <c r="D136" i="1" s="1"/>
  <c r="B135" i="1"/>
  <c r="L134" i="1"/>
  <c r="D134" i="1"/>
  <c r="C134" i="1"/>
  <c r="H134" i="1" s="1"/>
  <c r="J134" i="1" s="1"/>
  <c r="B134" i="1"/>
  <c r="B133" i="1"/>
  <c r="D132" i="1"/>
  <c r="C132" i="1"/>
  <c r="H132" i="1" s="1"/>
  <c r="J132" i="1" s="1"/>
  <c r="B132" i="1"/>
  <c r="E131" i="1"/>
  <c r="D131" i="1"/>
  <c r="G131" i="1" s="1"/>
  <c r="K131" i="1" s="1"/>
  <c r="C131" i="1"/>
  <c r="H131" i="1" s="1"/>
  <c r="J131" i="1" s="1"/>
  <c r="B131" i="1"/>
  <c r="D130" i="1"/>
  <c r="B130" i="1"/>
  <c r="L129" i="1"/>
  <c r="E129" i="1"/>
  <c r="D129" i="1"/>
  <c r="C129" i="1"/>
  <c r="H129" i="1" s="1"/>
  <c r="J129" i="1" s="1"/>
  <c r="B129" i="1"/>
  <c r="H128" i="1"/>
  <c r="J128" i="1" s="1"/>
  <c r="E128" i="1"/>
  <c r="D128" i="1"/>
  <c r="G128" i="1" s="1"/>
  <c r="K128" i="1" s="1"/>
  <c r="C128" i="1"/>
  <c r="B128" i="1"/>
  <c r="D127" i="1"/>
  <c r="B127" i="1"/>
  <c r="C126" i="1"/>
  <c r="H126" i="1" s="1"/>
  <c r="J126" i="1" s="1"/>
  <c r="B126" i="1"/>
  <c r="H125" i="1"/>
  <c r="J125" i="1" s="1"/>
  <c r="D125" i="1"/>
  <c r="B125" i="1"/>
  <c r="C125" i="1" s="1"/>
  <c r="E125" i="1" s="1"/>
  <c r="G125" i="1" s="1"/>
  <c r="K125" i="1" s="1"/>
  <c r="B124" i="1"/>
  <c r="C123" i="1"/>
  <c r="H123" i="1" s="1"/>
  <c r="J123" i="1" s="1"/>
  <c r="B123" i="1"/>
  <c r="E123" i="1" s="1"/>
  <c r="B122" i="1"/>
  <c r="C121" i="1"/>
  <c r="H121" i="1" s="1"/>
  <c r="J121" i="1" s="1"/>
  <c r="B121" i="1"/>
  <c r="E121" i="1" s="1"/>
  <c r="B120" i="1"/>
  <c r="L119" i="1"/>
  <c r="H119" i="1"/>
  <c r="J119" i="1" s="1"/>
  <c r="C119" i="1"/>
  <c r="B119" i="1"/>
  <c r="C118" i="1"/>
  <c r="H118" i="1" s="1"/>
  <c r="J118" i="1" s="1"/>
  <c r="B118" i="1"/>
  <c r="E118" i="1" s="1"/>
  <c r="B117" i="1"/>
  <c r="B116" i="1"/>
  <c r="C115" i="1"/>
  <c r="H115" i="1" s="1"/>
  <c r="J115" i="1" s="1"/>
  <c r="B115" i="1"/>
  <c r="E115" i="1" s="1"/>
  <c r="H114" i="1"/>
  <c r="J114" i="1" s="1"/>
  <c r="E114" i="1"/>
  <c r="G114" i="1" s="1"/>
  <c r="K114" i="1" s="1"/>
  <c r="D114" i="1"/>
  <c r="C114" i="1"/>
  <c r="B114" i="1"/>
  <c r="B113" i="1"/>
  <c r="D112" i="1"/>
  <c r="C112" i="1"/>
  <c r="H112" i="1" s="1"/>
  <c r="J112" i="1" s="1"/>
  <c r="B112" i="1"/>
  <c r="H111" i="1"/>
  <c r="J111" i="1" s="1"/>
  <c r="D111" i="1"/>
  <c r="C111" i="1"/>
  <c r="E111" i="1" s="1"/>
  <c r="B111" i="1"/>
  <c r="C110" i="1"/>
  <c r="H110" i="1" s="1"/>
  <c r="J110" i="1" s="1"/>
  <c r="B110" i="1"/>
  <c r="J109" i="1"/>
  <c r="L109" i="1" s="1"/>
  <c r="H109" i="1"/>
  <c r="D109" i="1"/>
  <c r="B109" i="1"/>
  <c r="C109" i="1" s="1"/>
  <c r="E109" i="1" s="1"/>
  <c r="G109" i="1" s="1"/>
  <c r="K109" i="1" s="1"/>
  <c r="N109" i="1" s="1"/>
  <c r="B108" i="1"/>
  <c r="D107" i="1"/>
  <c r="B107" i="1"/>
  <c r="B106" i="1"/>
  <c r="B105" i="1"/>
  <c r="B104" i="1"/>
  <c r="B103" i="1"/>
  <c r="B102" i="1"/>
  <c r="D101" i="1"/>
  <c r="C101" i="1"/>
  <c r="H101" i="1" s="1"/>
  <c r="J101" i="1" s="1"/>
  <c r="B101" i="1"/>
  <c r="D100" i="1"/>
  <c r="B100" i="1"/>
  <c r="B99" i="1"/>
  <c r="B98" i="1"/>
  <c r="D97" i="1"/>
  <c r="B97" i="1"/>
  <c r="H96" i="1"/>
  <c r="J96" i="1" s="1"/>
  <c r="E96" i="1"/>
  <c r="D96" i="1"/>
  <c r="G96" i="1" s="1"/>
  <c r="K96" i="1" s="1"/>
  <c r="C96" i="1"/>
  <c r="B96" i="1"/>
  <c r="C95" i="1"/>
  <c r="H95" i="1" s="1"/>
  <c r="J95" i="1" s="1"/>
  <c r="B95" i="1"/>
  <c r="B94" i="1"/>
  <c r="D93" i="1"/>
  <c r="B93" i="1"/>
  <c r="C93" i="1" s="1"/>
  <c r="H93" i="1" s="1"/>
  <c r="J93" i="1" s="1"/>
  <c r="D92" i="1"/>
  <c r="B92" i="1"/>
  <c r="B91" i="1"/>
  <c r="B90" i="1"/>
  <c r="D90" i="1" s="1"/>
  <c r="C88" i="1"/>
  <c r="H88" i="1" s="1"/>
  <c r="J88" i="1" s="1"/>
  <c r="L88" i="1" s="1"/>
  <c r="B88" i="1"/>
  <c r="B87" i="1"/>
  <c r="D87" i="1" s="1"/>
  <c r="D86" i="1"/>
  <c r="B86" i="1"/>
  <c r="B85" i="1"/>
  <c r="L84" i="1"/>
  <c r="J84" i="1"/>
  <c r="H84" i="1"/>
  <c r="E84" i="1"/>
  <c r="D84" i="1"/>
  <c r="G84" i="1" s="1"/>
  <c r="K84" i="1" s="1"/>
  <c r="N84" i="1" s="1"/>
  <c r="C84" i="1"/>
  <c r="B84" i="1"/>
  <c r="H83" i="1"/>
  <c r="J83" i="1" s="1"/>
  <c r="C83" i="1"/>
  <c r="B83" i="1"/>
  <c r="D82" i="1"/>
  <c r="B82" i="1"/>
  <c r="D81" i="1"/>
  <c r="B81" i="1"/>
  <c r="C81" i="1" s="1"/>
  <c r="H81" i="1" s="1"/>
  <c r="J81" i="1" s="1"/>
  <c r="H80" i="1"/>
  <c r="J80" i="1" s="1"/>
  <c r="E80" i="1"/>
  <c r="C80" i="1"/>
  <c r="B80" i="1"/>
  <c r="B79" i="1"/>
  <c r="C78" i="1"/>
  <c r="H78" i="1" s="1"/>
  <c r="J78" i="1" s="1"/>
  <c r="B78" i="1"/>
  <c r="D78" i="1" s="1"/>
  <c r="B77" i="1"/>
  <c r="B76" i="1"/>
  <c r="B75" i="1"/>
  <c r="D74" i="1"/>
  <c r="B74" i="1"/>
  <c r="B73" i="1"/>
  <c r="B72" i="1"/>
  <c r="B71" i="1"/>
  <c r="D70" i="1"/>
  <c r="B70" i="1"/>
  <c r="D69" i="1"/>
  <c r="C69" i="1"/>
  <c r="B69" i="1"/>
  <c r="H68" i="1"/>
  <c r="J68" i="1" s="1"/>
  <c r="E68" i="1"/>
  <c r="D68" i="1"/>
  <c r="G68" i="1" s="1"/>
  <c r="K68" i="1" s="1"/>
  <c r="C68" i="1"/>
  <c r="B68" i="1"/>
  <c r="D67" i="1"/>
  <c r="B67" i="1"/>
  <c r="D66" i="1"/>
  <c r="B66" i="1"/>
  <c r="H65" i="1"/>
  <c r="J65" i="1" s="1"/>
  <c r="D65" i="1"/>
  <c r="B65" i="1"/>
  <c r="C65" i="1" s="1"/>
  <c r="H64" i="1"/>
  <c r="J64" i="1" s="1"/>
  <c r="E64" i="1"/>
  <c r="D64" i="1"/>
  <c r="C64" i="1"/>
  <c r="B64" i="1"/>
  <c r="G64" i="1" s="1"/>
  <c r="K64" i="1" s="1"/>
  <c r="B63" i="1"/>
  <c r="D63" i="1" s="1"/>
  <c r="C62" i="1"/>
  <c r="H62" i="1" s="1"/>
  <c r="J62" i="1" s="1"/>
  <c r="B62" i="1"/>
  <c r="D62" i="1" s="1"/>
  <c r="D61" i="1"/>
  <c r="C61" i="1"/>
  <c r="H61" i="1" s="1"/>
  <c r="J61" i="1" s="1"/>
  <c r="B61" i="1"/>
  <c r="C60" i="1"/>
  <c r="H60" i="1" s="1"/>
  <c r="J60" i="1" s="1"/>
  <c r="B60" i="1"/>
  <c r="B59" i="1"/>
  <c r="C57" i="1"/>
  <c r="H57" i="1" s="1"/>
  <c r="J57" i="1" s="1"/>
  <c r="B57" i="1"/>
  <c r="E57" i="1" s="1"/>
  <c r="H56" i="1"/>
  <c r="J56" i="1" s="1"/>
  <c r="D56" i="1"/>
  <c r="C56" i="1"/>
  <c r="B56" i="1"/>
  <c r="B55" i="1"/>
  <c r="B54" i="1"/>
  <c r="D53" i="1"/>
  <c r="B53" i="1"/>
  <c r="D52" i="1"/>
  <c r="C52" i="1"/>
  <c r="H52" i="1" s="1"/>
  <c r="J52" i="1" s="1"/>
  <c r="B52" i="1"/>
  <c r="H51" i="1"/>
  <c r="J51" i="1" s="1"/>
  <c r="D51" i="1"/>
  <c r="C51" i="1"/>
  <c r="E51" i="1" s="1"/>
  <c r="G51" i="1" s="1"/>
  <c r="K51" i="1" s="1"/>
  <c r="B51" i="1"/>
  <c r="E50" i="1"/>
  <c r="C50" i="1"/>
  <c r="H50" i="1" s="1"/>
  <c r="J50" i="1" s="1"/>
  <c r="B50" i="1"/>
  <c r="B49" i="1"/>
  <c r="C49" i="1" s="1"/>
  <c r="H49" i="1" s="1"/>
  <c r="J49" i="1" s="1"/>
  <c r="H48" i="1"/>
  <c r="J48" i="1" s="1"/>
  <c r="E48" i="1"/>
  <c r="D48" i="1"/>
  <c r="G48" i="1" s="1"/>
  <c r="K48" i="1" s="1"/>
  <c r="B48" i="1"/>
  <c r="C48" i="1" s="1"/>
  <c r="B47" i="1"/>
  <c r="H46" i="1"/>
  <c r="J46" i="1" s="1"/>
  <c r="E46" i="1"/>
  <c r="C46" i="1"/>
  <c r="B46" i="1"/>
  <c r="D46" i="1" s="1"/>
  <c r="C45" i="1"/>
  <c r="H45" i="1" s="1"/>
  <c r="J45" i="1" s="1"/>
  <c r="B45" i="1"/>
  <c r="D45" i="1" s="1"/>
  <c r="B44" i="1"/>
  <c r="D43" i="1"/>
  <c r="C43" i="1"/>
  <c r="H43" i="1" s="1"/>
  <c r="J43" i="1" s="1"/>
  <c r="B43" i="1"/>
  <c r="B42" i="1"/>
  <c r="H41" i="1"/>
  <c r="J41" i="1" s="1"/>
  <c r="E41" i="1"/>
  <c r="D41" i="1"/>
  <c r="C41" i="1"/>
  <c r="B41" i="1"/>
  <c r="G41" i="1" s="1"/>
  <c r="K41" i="1" s="1"/>
  <c r="E40" i="1"/>
  <c r="C40" i="1"/>
  <c r="H40" i="1" s="1"/>
  <c r="J40" i="1" s="1"/>
  <c r="B40" i="1"/>
  <c r="B39" i="1"/>
  <c r="L38" i="1"/>
  <c r="J38" i="1"/>
  <c r="H38" i="1"/>
  <c r="E38" i="1"/>
  <c r="C38" i="1"/>
  <c r="B38" i="1"/>
  <c r="D38" i="1" s="1"/>
  <c r="G38" i="1" s="1"/>
  <c r="K38" i="1" s="1"/>
  <c r="N38" i="1" s="1"/>
  <c r="E37" i="1"/>
  <c r="C37" i="1"/>
  <c r="H37" i="1" s="1"/>
  <c r="J37" i="1" s="1"/>
  <c r="B37" i="1"/>
  <c r="D36" i="1"/>
  <c r="C36" i="1"/>
  <c r="H36" i="1" s="1"/>
  <c r="J36" i="1" s="1"/>
  <c r="B36" i="1"/>
  <c r="H35" i="1"/>
  <c r="J35" i="1" s="1"/>
  <c r="D35" i="1"/>
  <c r="C35" i="1"/>
  <c r="B35" i="1"/>
  <c r="E35" i="1" s="1"/>
  <c r="G35" i="1" s="1"/>
  <c r="K35" i="1" s="1"/>
  <c r="B34" i="1"/>
  <c r="D33" i="1"/>
  <c r="B33" i="1"/>
  <c r="H32" i="1"/>
  <c r="J32" i="1" s="1"/>
  <c r="E32" i="1"/>
  <c r="D32" i="1"/>
  <c r="C32" i="1"/>
  <c r="B32" i="1"/>
  <c r="G32" i="1" s="1"/>
  <c r="K32" i="1" s="1"/>
  <c r="B31" i="1"/>
  <c r="B30" i="1"/>
  <c r="B29" i="1"/>
  <c r="D29" i="1" s="1"/>
  <c r="D28" i="1"/>
  <c r="C28" i="1"/>
  <c r="H28" i="1" s="1"/>
  <c r="J28" i="1" s="1"/>
  <c r="B28" i="1"/>
  <c r="C27" i="1"/>
  <c r="H27" i="1" s="1"/>
  <c r="J27" i="1" s="1"/>
  <c r="B27" i="1"/>
  <c r="E27" i="1" s="1"/>
  <c r="B26" i="1"/>
  <c r="D25" i="1"/>
  <c r="B25" i="1"/>
  <c r="C25" i="1" s="1"/>
  <c r="D24" i="1"/>
  <c r="B24" i="1"/>
  <c r="B23" i="1"/>
  <c r="B22" i="1"/>
  <c r="D22" i="1" s="1"/>
  <c r="E21" i="1"/>
  <c r="C21" i="1"/>
  <c r="H21" i="1" s="1"/>
  <c r="J21" i="1" s="1"/>
  <c r="B21" i="1"/>
  <c r="D20" i="1"/>
  <c r="C20" i="1"/>
  <c r="H20" i="1" s="1"/>
  <c r="J20" i="1" s="1"/>
  <c r="B20" i="1"/>
  <c r="H19" i="1"/>
  <c r="J19" i="1" s="1"/>
  <c r="D19" i="1"/>
  <c r="C19" i="1"/>
  <c r="B19" i="1"/>
  <c r="E19" i="1" s="1"/>
  <c r="G19" i="1" s="1"/>
  <c r="K19" i="1" s="1"/>
  <c r="B18" i="1"/>
  <c r="D17" i="1"/>
  <c r="B17" i="1"/>
  <c r="H16" i="1"/>
  <c r="J16" i="1" s="1"/>
  <c r="E16" i="1"/>
  <c r="D16" i="1"/>
  <c r="C16" i="1"/>
  <c r="B16" i="1"/>
  <c r="G16" i="1" s="1"/>
  <c r="K16" i="1" s="1"/>
  <c r="B15" i="1"/>
  <c r="B14" i="1"/>
  <c r="B13" i="1"/>
  <c r="D13" i="1" s="1"/>
  <c r="D12" i="1"/>
  <c r="C12" i="1"/>
  <c r="H12" i="1" s="1"/>
  <c r="J12" i="1" s="1"/>
  <c r="B12" i="1"/>
  <c r="C11" i="1"/>
  <c r="H11" i="1" s="1"/>
  <c r="J11" i="1" s="1"/>
  <c r="B11" i="1"/>
  <c r="E11" i="1" s="1"/>
  <c r="I10" i="1"/>
  <c r="J10" i="1" s="1"/>
  <c r="B10" i="1"/>
  <c r="I9" i="1"/>
  <c r="J9" i="1" s="1"/>
  <c r="D9" i="1"/>
  <c r="B9" i="1"/>
  <c r="C9" i="1" s="1"/>
  <c r="E9" i="1" s="1"/>
  <c r="I8" i="1"/>
  <c r="J8" i="1" s="1"/>
  <c r="D8" i="1"/>
  <c r="B8" i="1"/>
  <c r="I7" i="1"/>
  <c r="J7" i="1" s="1"/>
  <c r="B7" i="1"/>
  <c r="L6" i="1"/>
  <c r="J6" i="1"/>
  <c r="I6" i="1"/>
  <c r="B6" i="1"/>
  <c r="D6" i="1" s="1"/>
  <c r="J5" i="1"/>
  <c r="I5" i="1"/>
  <c r="E5" i="1"/>
  <c r="C5" i="1"/>
  <c r="B5" i="1"/>
  <c r="J4" i="1"/>
  <c r="L4" i="1" s="1"/>
  <c r="I4" i="1"/>
  <c r="D4" i="1"/>
  <c r="C4" i="1"/>
  <c r="B4" i="1"/>
  <c r="E4" i="1" s="1"/>
  <c r="I3" i="1"/>
  <c r="J3" i="1" s="1"/>
  <c r="D3" i="1"/>
  <c r="C3" i="1"/>
  <c r="B3" i="1"/>
  <c r="E3" i="1" s="1"/>
  <c r="G3" i="1" s="1"/>
  <c r="K3" i="1" s="1"/>
  <c r="O2" i="1"/>
  <c r="I2" i="1"/>
  <c r="J2" i="1" s="1"/>
  <c r="B2" i="1"/>
  <c r="M16" i="1" l="1"/>
  <c r="L16" i="1"/>
  <c r="M64" i="1"/>
  <c r="L64" i="1"/>
  <c r="L50" i="1"/>
  <c r="M9" i="1"/>
  <c r="L9" i="1"/>
  <c r="G43" i="1"/>
  <c r="K43" i="1" s="1"/>
  <c r="N43" i="1" s="1"/>
  <c r="L81" i="1"/>
  <c r="L43" i="1"/>
  <c r="L57" i="1"/>
  <c r="G9" i="1"/>
  <c r="K9" i="1" s="1"/>
  <c r="L56" i="1"/>
  <c r="M32" i="1"/>
  <c r="L32" i="1"/>
  <c r="N32" i="1" s="1"/>
  <c r="E10" i="1"/>
  <c r="H25" i="1"/>
  <c r="J25" i="1" s="1"/>
  <c r="E25" i="1"/>
  <c r="G25" i="1" s="1"/>
  <c r="K25" i="1" s="1"/>
  <c r="G33" i="1"/>
  <c r="K33" i="1" s="1"/>
  <c r="L10" i="1"/>
  <c r="M38" i="1"/>
  <c r="L65" i="1"/>
  <c r="M45" i="1"/>
  <c r="L45" i="1"/>
  <c r="L2" i="1"/>
  <c r="L27" i="1"/>
  <c r="M51" i="1"/>
  <c r="L51" i="1"/>
  <c r="N51" i="1" s="1"/>
  <c r="L12" i="1"/>
  <c r="M19" i="1"/>
  <c r="L19" i="1"/>
  <c r="N19" i="1" s="1"/>
  <c r="M40" i="1"/>
  <c r="L40" i="1"/>
  <c r="L52" i="1"/>
  <c r="L61" i="1"/>
  <c r="M61" i="1"/>
  <c r="L60" i="1"/>
  <c r="L46" i="1"/>
  <c r="L93" i="1"/>
  <c r="N35" i="1"/>
  <c r="L28" i="1"/>
  <c r="L101" i="1"/>
  <c r="L11" i="1"/>
  <c r="L20" i="1"/>
  <c r="G36" i="1"/>
  <c r="K36" i="1" s="1"/>
  <c r="N36" i="1" s="1"/>
  <c r="L21" i="1"/>
  <c r="N64" i="1"/>
  <c r="M68" i="1"/>
  <c r="L68" i="1"/>
  <c r="M131" i="1"/>
  <c r="L131" i="1"/>
  <c r="M35" i="1"/>
  <c r="L35" i="1"/>
  <c r="E14" i="1"/>
  <c r="L62" i="1"/>
  <c r="L7" i="1"/>
  <c r="L78" i="1"/>
  <c r="N16" i="1"/>
  <c r="L37" i="1"/>
  <c r="M41" i="1"/>
  <c r="L41" i="1"/>
  <c r="N41" i="1" s="1"/>
  <c r="M48" i="1"/>
  <c r="L48" i="1"/>
  <c r="N48" i="1" s="1"/>
  <c r="G28" i="1"/>
  <c r="K28" i="1" s="1"/>
  <c r="N28" i="1" s="1"/>
  <c r="L36" i="1"/>
  <c r="N68" i="1"/>
  <c r="M3" i="1"/>
  <c r="L3" i="1"/>
  <c r="N3" i="1" s="1"/>
  <c r="L8" i="1"/>
  <c r="L49" i="1"/>
  <c r="D133" i="1"/>
  <c r="G133" i="1" s="1"/>
  <c r="K133" i="1" s="1"/>
  <c r="C133" i="1"/>
  <c r="H133" i="1" s="1"/>
  <c r="J133" i="1" s="1"/>
  <c r="C31" i="1"/>
  <c r="H31" i="1" s="1"/>
  <c r="J31" i="1" s="1"/>
  <c r="D72" i="1"/>
  <c r="E78" i="1"/>
  <c r="G78" i="1" s="1"/>
  <c r="K78" i="1" s="1"/>
  <c r="N78" i="1" s="1"/>
  <c r="L80" i="1"/>
  <c r="G111" i="1"/>
  <c r="K111" i="1" s="1"/>
  <c r="N111" i="1" s="1"/>
  <c r="N125" i="1"/>
  <c r="E133" i="1"/>
  <c r="L141" i="1"/>
  <c r="G148" i="1"/>
  <c r="K148" i="1" s="1"/>
  <c r="L153" i="1"/>
  <c r="H182" i="1"/>
  <c r="J182" i="1" s="1"/>
  <c r="E182" i="1"/>
  <c r="G182" i="1" s="1"/>
  <c r="K182" i="1" s="1"/>
  <c r="L160" i="1"/>
  <c r="D2" i="1"/>
  <c r="E12" i="1"/>
  <c r="G12" i="1" s="1"/>
  <c r="D15" i="1"/>
  <c r="G15" i="1" s="1"/>
  <c r="K15" i="1" s="1"/>
  <c r="C18" i="1"/>
  <c r="H18" i="1" s="1"/>
  <c r="J18" i="1" s="1"/>
  <c r="E28" i="1"/>
  <c r="D31" i="1"/>
  <c r="G31" i="1" s="1"/>
  <c r="K31" i="1" s="1"/>
  <c r="C34" i="1"/>
  <c r="H34" i="1" s="1"/>
  <c r="J34" i="1" s="1"/>
  <c r="G40" i="1"/>
  <c r="K40" i="1" s="1"/>
  <c r="N40" i="1" s="1"/>
  <c r="C53" i="1"/>
  <c r="H53" i="1" s="1"/>
  <c r="J53" i="1" s="1"/>
  <c r="E61" i="1"/>
  <c r="G61" i="1" s="1"/>
  <c r="K61" i="1" s="1"/>
  <c r="C70" i="1"/>
  <c r="H70" i="1" s="1"/>
  <c r="J70" i="1" s="1"/>
  <c r="C72" i="1"/>
  <c r="C74" i="1"/>
  <c r="H74" i="1" s="1"/>
  <c r="J74" i="1" s="1"/>
  <c r="E83" i="1"/>
  <c r="D103" i="1"/>
  <c r="C103" i="1"/>
  <c r="H103" i="1" s="1"/>
  <c r="J103" i="1" s="1"/>
  <c r="G134" i="1"/>
  <c r="K134" i="1" s="1"/>
  <c r="N134" i="1" s="1"/>
  <c r="M148" i="1"/>
  <c r="L148" i="1"/>
  <c r="L140" i="1"/>
  <c r="C2" i="1"/>
  <c r="C15" i="1"/>
  <c r="H15" i="1" s="1"/>
  <c r="J15" i="1" s="1"/>
  <c r="E31" i="1"/>
  <c r="D34" i="1"/>
  <c r="D55" i="1"/>
  <c r="E76" i="1"/>
  <c r="D76" i="1"/>
  <c r="G76" i="1" s="1"/>
  <c r="K76" i="1" s="1"/>
  <c r="E86" i="1"/>
  <c r="M114" i="1"/>
  <c r="L114" i="1"/>
  <c r="N114" i="1" s="1"/>
  <c r="M125" i="1"/>
  <c r="L125" i="1"/>
  <c r="L191" i="1"/>
  <c r="L110" i="1"/>
  <c r="E2" i="1"/>
  <c r="G2" i="1" s="1"/>
  <c r="E15" i="1"/>
  <c r="D18" i="1"/>
  <c r="D5" i="1"/>
  <c r="G5" i="1" s="1"/>
  <c r="C8" i="1"/>
  <c r="E8" i="1" s="1"/>
  <c r="G8" i="1" s="1"/>
  <c r="D21" i="1"/>
  <c r="G21" i="1" s="1"/>
  <c r="C24" i="1"/>
  <c r="H24" i="1" s="1"/>
  <c r="J24" i="1" s="1"/>
  <c r="D37" i="1"/>
  <c r="G37" i="1" s="1"/>
  <c r="D40" i="1"/>
  <c r="E45" i="1"/>
  <c r="G45" i="1" s="1"/>
  <c r="K45" i="1" s="1"/>
  <c r="N45" i="1" s="1"/>
  <c r="D50" i="1"/>
  <c r="G50" i="1" s="1"/>
  <c r="C55" i="1"/>
  <c r="C63" i="1"/>
  <c r="E70" i="1"/>
  <c r="G70" i="1" s="1"/>
  <c r="K70" i="1" s="1"/>
  <c r="C76" i="1"/>
  <c r="H76" i="1" s="1"/>
  <c r="J76" i="1" s="1"/>
  <c r="E81" i="1"/>
  <c r="G81" i="1" s="1"/>
  <c r="K81" i="1" s="1"/>
  <c r="N81" i="1" s="1"/>
  <c r="D83" i="1"/>
  <c r="G83" i="1" s="1"/>
  <c r="C86" i="1"/>
  <c r="H86" i="1" s="1"/>
  <c r="J86" i="1" s="1"/>
  <c r="C90" i="1"/>
  <c r="E93" i="1"/>
  <c r="G93" i="1" s="1"/>
  <c r="K93" i="1" s="1"/>
  <c r="N93" i="1" s="1"/>
  <c r="E126" i="1"/>
  <c r="D11" i="1"/>
  <c r="G11" i="1" s="1"/>
  <c r="K11" i="1" s="1"/>
  <c r="N11" i="1" s="1"/>
  <c r="C14" i="1"/>
  <c r="H14" i="1" s="1"/>
  <c r="J14" i="1" s="1"/>
  <c r="E24" i="1"/>
  <c r="G24" i="1" s="1"/>
  <c r="K24" i="1" s="1"/>
  <c r="D27" i="1"/>
  <c r="G27" i="1" s="1"/>
  <c r="K27" i="1" s="1"/>
  <c r="N27" i="1" s="1"/>
  <c r="C30" i="1"/>
  <c r="H30" i="1" s="1"/>
  <c r="J30" i="1" s="1"/>
  <c r="C42" i="1"/>
  <c r="H42" i="1" s="1"/>
  <c r="J42" i="1" s="1"/>
  <c r="C47" i="1"/>
  <c r="H47" i="1" s="1"/>
  <c r="J47" i="1" s="1"/>
  <c r="D57" i="1"/>
  <c r="G57" i="1" s="1"/>
  <c r="K57" i="1" s="1"/>
  <c r="N57" i="1" s="1"/>
  <c r="E65" i="1"/>
  <c r="G65" i="1" s="1"/>
  <c r="G86" i="1"/>
  <c r="K86" i="1" s="1"/>
  <c r="C108" i="1"/>
  <c r="H108" i="1" s="1"/>
  <c r="J108" i="1" s="1"/>
  <c r="L111" i="1"/>
  <c r="L115" i="1"/>
  <c r="M161" i="1"/>
  <c r="M177" i="1"/>
  <c r="G185" i="1"/>
  <c r="K185" i="1" s="1"/>
  <c r="L166" i="1"/>
  <c r="M96" i="1"/>
  <c r="L96" i="1"/>
  <c r="N96" i="1" s="1"/>
  <c r="L184" i="1"/>
  <c r="D14" i="1"/>
  <c r="C17" i="1"/>
  <c r="D30" i="1"/>
  <c r="C33" i="1"/>
  <c r="H33" i="1" s="1"/>
  <c r="J33" i="1" s="1"/>
  <c r="D42" i="1"/>
  <c r="D47" i="1"/>
  <c r="E60" i="1"/>
  <c r="C67" i="1"/>
  <c r="H67" i="1" s="1"/>
  <c r="J67" i="1" s="1"/>
  <c r="L157" i="1"/>
  <c r="L193" i="1"/>
  <c r="D79" i="1"/>
  <c r="C79" i="1"/>
  <c r="H79" i="1" s="1"/>
  <c r="J79" i="1" s="1"/>
  <c r="D116" i="1"/>
  <c r="C116" i="1"/>
  <c r="H116" i="1" s="1"/>
  <c r="J116" i="1" s="1"/>
  <c r="L121" i="1"/>
  <c r="G14" i="1"/>
  <c r="K14" i="1" s="1"/>
  <c r="E33" i="1"/>
  <c r="C39" i="1"/>
  <c r="H39" i="1" s="1"/>
  <c r="J39" i="1" s="1"/>
  <c r="C44" i="1"/>
  <c r="H44" i="1" s="1"/>
  <c r="J44" i="1" s="1"/>
  <c r="D60" i="1"/>
  <c r="G60" i="1" s="1"/>
  <c r="H69" i="1"/>
  <c r="J69" i="1" s="1"/>
  <c r="E69" i="1"/>
  <c r="G69" i="1" s="1"/>
  <c r="K69" i="1" s="1"/>
  <c r="C71" i="1"/>
  <c r="H71" i="1" s="1"/>
  <c r="J71" i="1" s="1"/>
  <c r="C77" i="1"/>
  <c r="H77" i="1" s="1"/>
  <c r="J77" i="1" s="1"/>
  <c r="N144" i="1"/>
  <c r="H163" i="1"/>
  <c r="J163" i="1" s="1"/>
  <c r="E163" i="1"/>
  <c r="G163" i="1" s="1"/>
  <c r="K163" i="1" s="1"/>
  <c r="G172" i="1"/>
  <c r="K172" i="1" s="1"/>
  <c r="N172" i="1" s="1"/>
  <c r="L186" i="1"/>
  <c r="D108" i="1"/>
  <c r="D7" i="1"/>
  <c r="G7" i="1" s="1"/>
  <c r="E20" i="1"/>
  <c r="G20" i="1" s="1"/>
  <c r="C26" i="1"/>
  <c r="H26" i="1" s="1"/>
  <c r="J26" i="1" s="1"/>
  <c r="E36" i="1"/>
  <c r="D39" i="1"/>
  <c r="G39" i="1" s="1"/>
  <c r="K39" i="1" s="1"/>
  <c r="D44" i="1"/>
  <c r="G44" i="1" s="1"/>
  <c r="K44" i="1" s="1"/>
  <c r="D49" i="1"/>
  <c r="E52" i="1"/>
  <c r="G52" i="1" s="1"/>
  <c r="C54" i="1"/>
  <c r="H54" i="1" s="1"/>
  <c r="J54" i="1" s="1"/>
  <c r="D71" i="1"/>
  <c r="E75" i="1"/>
  <c r="C75" i="1"/>
  <c r="H75" i="1" s="1"/>
  <c r="J75" i="1" s="1"/>
  <c r="D77" i="1"/>
  <c r="D105" i="1"/>
  <c r="C105" i="1"/>
  <c r="H105" i="1" s="1"/>
  <c r="J105" i="1" s="1"/>
  <c r="N131" i="1"/>
  <c r="L144" i="1"/>
  <c r="M144" i="1"/>
  <c r="N194" i="1"/>
  <c r="C7" i="1"/>
  <c r="C23" i="1"/>
  <c r="H23" i="1" s="1"/>
  <c r="J23" i="1" s="1"/>
  <c r="L5" i="1"/>
  <c r="C10" i="1"/>
  <c r="D23" i="1"/>
  <c r="G23" i="1" s="1"/>
  <c r="K23" i="1" s="1"/>
  <c r="G4" i="1"/>
  <c r="E7" i="1"/>
  <c r="D10" i="1"/>
  <c r="C13" i="1"/>
  <c r="E23" i="1"/>
  <c r="D26" i="1"/>
  <c r="C29" i="1"/>
  <c r="E39" i="1"/>
  <c r="E44" i="1"/>
  <c r="E49" i="1"/>
  <c r="D54" i="1"/>
  <c r="E62" i="1"/>
  <c r="G62" i="1" s="1"/>
  <c r="C73" i="1"/>
  <c r="H73" i="1" s="1"/>
  <c r="J73" i="1" s="1"/>
  <c r="D75" i="1"/>
  <c r="G75" i="1" s="1"/>
  <c r="K75" i="1" s="1"/>
  <c r="E101" i="1"/>
  <c r="G101" i="1" s="1"/>
  <c r="L112" i="1"/>
  <c r="G49" i="1"/>
  <c r="K49" i="1" s="1"/>
  <c r="N49" i="1" s="1"/>
  <c r="E54" i="1"/>
  <c r="G54" i="1" s="1"/>
  <c r="K54" i="1" s="1"/>
  <c r="D73" i="1"/>
  <c r="M84" i="1"/>
  <c r="D98" i="1"/>
  <c r="G98" i="1" s="1"/>
  <c r="K98" i="1" s="1"/>
  <c r="D106" i="1"/>
  <c r="G106" i="1" s="1"/>
  <c r="K106" i="1" s="1"/>
  <c r="C106" i="1"/>
  <c r="H106" i="1" s="1"/>
  <c r="J106" i="1" s="1"/>
  <c r="D113" i="1"/>
  <c r="C113" i="1"/>
  <c r="H113" i="1" s="1"/>
  <c r="J113" i="1" s="1"/>
  <c r="N128" i="1"/>
  <c r="G146" i="1"/>
  <c r="K146" i="1" s="1"/>
  <c r="N146" i="1" s="1"/>
  <c r="M158" i="1"/>
  <c r="L158" i="1"/>
  <c r="N158" i="1" s="1"/>
  <c r="L164" i="1"/>
  <c r="M174" i="1"/>
  <c r="L174" i="1"/>
  <c r="M194" i="1"/>
  <c r="L194" i="1"/>
  <c r="E95" i="1"/>
  <c r="C98" i="1"/>
  <c r="H98" i="1" s="1"/>
  <c r="J98" i="1" s="1"/>
  <c r="E106" i="1"/>
  <c r="L123" i="1"/>
  <c r="G140" i="1"/>
  <c r="K140" i="1" s="1"/>
  <c r="N140" i="1" s="1"/>
  <c r="M146" i="1"/>
  <c r="L146" i="1"/>
  <c r="G180" i="1"/>
  <c r="K180" i="1" s="1"/>
  <c r="L83" i="1"/>
  <c r="L126" i="1"/>
  <c r="C6" i="1"/>
  <c r="E6" i="1" s="1"/>
  <c r="G6" i="1" s="1"/>
  <c r="C22" i="1"/>
  <c r="E59" i="1"/>
  <c r="C59" i="1"/>
  <c r="H59" i="1" s="1"/>
  <c r="J59" i="1" s="1"/>
  <c r="M95" i="1"/>
  <c r="L95" i="1"/>
  <c r="E98" i="1"/>
  <c r="D102" i="1"/>
  <c r="C102" i="1"/>
  <c r="H102" i="1" s="1"/>
  <c r="J102" i="1" s="1"/>
  <c r="M109" i="1"/>
  <c r="M128" i="1"/>
  <c r="L128" i="1"/>
  <c r="L132" i="1"/>
  <c r="M151" i="1"/>
  <c r="L151" i="1"/>
  <c r="N151" i="1" s="1"/>
  <c r="N174" i="1"/>
  <c r="E43" i="1"/>
  <c r="G46" i="1"/>
  <c r="K46" i="1" s="1"/>
  <c r="N46" i="1" s="1"/>
  <c r="E56" i="1"/>
  <c r="G56" i="1" s="1"/>
  <c r="D59" i="1"/>
  <c r="D80" i="1"/>
  <c r="G80" i="1" s="1"/>
  <c r="D85" i="1"/>
  <c r="C85" i="1"/>
  <c r="H85" i="1" s="1"/>
  <c r="J85" i="1" s="1"/>
  <c r="E110" i="1"/>
  <c r="M118" i="1"/>
  <c r="L118" i="1"/>
  <c r="G166" i="1"/>
  <c r="K166" i="1" s="1"/>
  <c r="N166" i="1" s="1"/>
  <c r="M180" i="1"/>
  <c r="L189" i="1"/>
  <c r="D138" i="1"/>
  <c r="C138" i="1"/>
  <c r="H138" i="1" s="1"/>
  <c r="J138" i="1" s="1"/>
  <c r="E184" i="1"/>
  <c r="D184" i="1"/>
  <c r="G184" i="1" s="1"/>
  <c r="E165" i="1"/>
  <c r="G165" i="1" s="1"/>
  <c r="K165" i="1" s="1"/>
  <c r="E192" i="1"/>
  <c r="D192" i="1"/>
  <c r="G192" i="1" s="1"/>
  <c r="K192" i="1" s="1"/>
  <c r="D121" i="1"/>
  <c r="G121" i="1" s="1"/>
  <c r="K121" i="1" s="1"/>
  <c r="D126" i="1"/>
  <c r="C145" i="1"/>
  <c r="H145" i="1" s="1"/>
  <c r="J145" i="1" s="1"/>
  <c r="L149" i="1"/>
  <c r="D153" i="1"/>
  <c r="G153" i="1" s="1"/>
  <c r="K153" i="1" s="1"/>
  <c r="N153" i="1" s="1"/>
  <c r="D160" i="1"/>
  <c r="G160" i="1" s="1"/>
  <c r="K160" i="1" s="1"/>
  <c r="N160" i="1" s="1"/>
  <c r="L161" i="1"/>
  <c r="N161" i="1" s="1"/>
  <c r="C165" i="1"/>
  <c r="H165" i="1" s="1"/>
  <c r="J165" i="1" s="1"/>
  <c r="C167" i="1"/>
  <c r="H167" i="1" s="1"/>
  <c r="J167" i="1" s="1"/>
  <c r="C179" i="1"/>
  <c r="H179" i="1" s="1"/>
  <c r="J179" i="1" s="1"/>
  <c r="L180" i="1"/>
  <c r="C192" i="1"/>
  <c r="H192" i="1" s="1"/>
  <c r="J192" i="1" s="1"/>
  <c r="D145" i="1"/>
  <c r="G145" i="1" s="1"/>
  <c r="K145" i="1" s="1"/>
  <c r="E155" i="1"/>
  <c r="D155" i="1"/>
  <c r="C155" i="1"/>
  <c r="H155" i="1" s="1"/>
  <c r="J155" i="1" s="1"/>
  <c r="D165" i="1"/>
  <c r="D167" i="1"/>
  <c r="G167" i="1" s="1"/>
  <c r="K167" i="1" s="1"/>
  <c r="D179" i="1"/>
  <c r="E186" i="1"/>
  <c r="G186" i="1" s="1"/>
  <c r="K186" i="1" s="1"/>
  <c r="N186" i="1" s="1"/>
  <c r="C188" i="1"/>
  <c r="H188" i="1" s="1"/>
  <c r="J188" i="1" s="1"/>
  <c r="D135" i="1"/>
  <c r="E145" i="1"/>
  <c r="E167" i="1"/>
  <c r="E179" i="1"/>
  <c r="G179" i="1" s="1"/>
  <c r="K179" i="1" s="1"/>
  <c r="D190" i="1"/>
  <c r="D95" i="1"/>
  <c r="G95" i="1" s="1"/>
  <c r="K95" i="1" s="1"/>
  <c r="D118" i="1"/>
  <c r="G118" i="1" s="1"/>
  <c r="K118" i="1" s="1"/>
  <c r="D123" i="1"/>
  <c r="G123" i="1" s="1"/>
  <c r="K123" i="1" s="1"/>
  <c r="N123" i="1" s="1"/>
  <c r="C135" i="1"/>
  <c r="H135" i="1" s="1"/>
  <c r="J135" i="1" s="1"/>
  <c r="C137" i="1"/>
  <c r="H137" i="1" s="1"/>
  <c r="J137" i="1" s="1"/>
  <c r="C142" i="1"/>
  <c r="H142" i="1" s="1"/>
  <c r="J142" i="1" s="1"/>
  <c r="D157" i="1"/>
  <c r="G157" i="1" s="1"/>
  <c r="K157" i="1" s="1"/>
  <c r="N157" i="1" s="1"/>
  <c r="C169" i="1"/>
  <c r="H169" i="1" s="1"/>
  <c r="J169" i="1" s="1"/>
  <c r="M172" i="1"/>
  <c r="C176" i="1"/>
  <c r="H176" i="1" s="1"/>
  <c r="J176" i="1" s="1"/>
  <c r="C190" i="1"/>
  <c r="H190" i="1" s="1"/>
  <c r="J190" i="1" s="1"/>
  <c r="C92" i="1"/>
  <c r="H92" i="1" s="1"/>
  <c r="J92" i="1" s="1"/>
  <c r="C100" i="1"/>
  <c r="H100" i="1" s="1"/>
  <c r="J100" i="1" s="1"/>
  <c r="C130" i="1"/>
  <c r="H130" i="1" s="1"/>
  <c r="J130" i="1" s="1"/>
  <c r="D137" i="1"/>
  <c r="D142" i="1"/>
  <c r="C150" i="1"/>
  <c r="H150" i="1" s="1"/>
  <c r="J150" i="1" s="1"/>
  <c r="C162" i="1"/>
  <c r="H162" i="1" s="1"/>
  <c r="J162" i="1" s="1"/>
  <c r="D169" i="1"/>
  <c r="D176" i="1"/>
  <c r="G176" i="1" s="1"/>
  <c r="K176" i="1" s="1"/>
  <c r="L177" i="1"/>
  <c r="N177" i="1" s="1"/>
  <c r="C181" i="1"/>
  <c r="H181" i="1" s="1"/>
  <c r="J181" i="1" s="1"/>
  <c r="C183" i="1"/>
  <c r="H183" i="1" s="1"/>
  <c r="J183" i="1" s="1"/>
  <c r="E169" i="1"/>
  <c r="G169" i="1" s="1"/>
  <c r="K169" i="1" s="1"/>
  <c r="E171" i="1"/>
  <c r="G171" i="1" s="1"/>
  <c r="K171" i="1" s="1"/>
  <c r="D171" i="1"/>
  <c r="C171" i="1"/>
  <c r="H171" i="1" s="1"/>
  <c r="J171" i="1" s="1"/>
  <c r="E176" i="1"/>
  <c r="D181" i="1"/>
  <c r="D183" i="1"/>
  <c r="G183" i="1" s="1"/>
  <c r="K183" i="1" s="1"/>
  <c r="D88" i="1"/>
  <c r="D110" i="1"/>
  <c r="D115" i="1"/>
  <c r="G115" i="1" s="1"/>
  <c r="K115" i="1" s="1"/>
  <c r="N115" i="1" s="1"/>
  <c r="C120" i="1"/>
  <c r="H120" i="1" s="1"/>
  <c r="J120" i="1" s="1"/>
  <c r="E130" i="1"/>
  <c r="G130" i="1" s="1"/>
  <c r="K130" i="1" s="1"/>
  <c r="C139" i="1"/>
  <c r="H139" i="1" s="1"/>
  <c r="J139" i="1" s="1"/>
  <c r="E150" i="1"/>
  <c r="G150" i="1" s="1"/>
  <c r="K150" i="1" s="1"/>
  <c r="D152" i="1"/>
  <c r="C173" i="1"/>
  <c r="H173" i="1" s="1"/>
  <c r="J173" i="1" s="1"/>
  <c r="E183" i="1"/>
  <c r="C66" i="1"/>
  <c r="C82" i="1"/>
  <c r="E88" i="1"/>
  <c r="G88" i="1" s="1"/>
  <c r="C97" i="1"/>
  <c r="C107" i="1"/>
  <c r="D120" i="1"/>
  <c r="G120" i="1" s="1"/>
  <c r="K120" i="1" s="1"/>
  <c r="C127" i="1"/>
  <c r="E132" i="1"/>
  <c r="G132" i="1" s="1"/>
  <c r="D139" i="1"/>
  <c r="G139" i="1" s="1"/>
  <c r="K139" i="1" s="1"/>
  <c r="C152" i="1"/>
  <c r="H152" i="1" s="1"/>
  <c r="J152" i="1" s="1"/>
  <c r="C154" i="1"/>
  <c r="H154" i="1" s="1"/>
  <c r="J154" i="1" s="1"/>
  <c r="C159" i="1"/>
  <c r="H159" i="1" s="1"/>
  <c r="J159" i="1" s="1"/>
  <c r="E164" i="1"/>
  <c r="G164" i="1" s="1"/>
  <c r="K164" i="1" s="1"/>
  <c r="N164" i="1" s="1"/>
  <c r="D173" i="1"/>
  <c r="C185" i="1"/>
  <c r="H185" i="1" s="1"/>
  <c r="J185" i="1" s="1"/>
  <c r="E193" i="1"/>
  <c r="D193" i="1"/>
  <c r="G193" i="1" s="1"/>
  <c r="E120" i="1"/>
  <c r="E139" i="1"/>
  <c r="E173" i="1"/>
  <c r="G173" i="1" s="1"/>
  <c r="K173" i="1" s="1"/>
  <c r="C94" i="1"/>
  <c r="H94" i="1" s="1"/>
  <c r="J94" i="1" s="1"/>
  <c r="C99" i="1"/>
  <c r="H99" i="1" s="1"/>
  <c r="J99" i="1" s="1"/>
  <c r="C117" i="1"/>
  <c r="H117" i="1" s="1"/>
  <c r="J117" i="1" s="1"/>
  <c r="E122" i="1"/>
  <c r="D122" i="1"/>
  <c r="G122" i="1" s="1"/>
  <c r="K122" i="1" s="1"/>
  <c r="C122" i="1"/>
  <c r="H122" i="1" s="1"/>
  <c r="J122" i="1" s="1"/>
  <c r="E159" i="1"/>
  <c r="G159" i="1" s="1"/>
  <c r="K159" i="1" s="1"/>
  <c r="E185" i="1"/>
  <c r="D187" i="1"/>
  <c r="C187" i="1"/>
  <c r="H187" i="1" s="1"/>
  <c r="J187" i="1" s="1"/>
  <c r="C91" i="1"/>
  <c r="H91" i="1" s="1"/>
  <c r="J91" i="1" s="1"/>
  <c r="D94" i="1"/>
  <c r="D99" i="1"/>
  <c r="C104" i="1"/>
  <c r="H104" i="1" s="1"/>
  <c r="J104" i="1" s="1"/>
  <c r="E112" i="1"/>
  <c r="G112" i="1" s="1"/>
  <c r="D117" i="1"/>
  <c r="C124" i="1"/>
  <c r="H124" i="1" s="1"/>
  <c r="J124" i="1" s="1"/>
  <c r="E134" i="1"/>
  <c r="E141" i="1"/>
  <c r="G141" i="1" s="1"/>
  <c r="K141" i="1" s="1"/>
  <c r="N141" i="1" s="1"/>
  <c r="E146" i="1"/>
  <c r="C156" i="1"/>
  <c r="H156" i="1" s="1"/>
  <c r="J156" i="1" s="1"/>
  <c r="E166" i="1"/>
  <c r="E168" i="1"/>
  <c r="D168" i="1"/>
  <c r="G168" i="1" s="1"/>
  <c r="K168" i="1" s="1"/>
  <c r="E178" i="1"/>
  <c r="G178" i="1" s="1"/>
  <c r="E189" i="1"/>
  <c r="G189" i="1" s="1"/>
  <c r="E191" i="1"/>
  <c r="G191" i="1" s="1"/>
  <c r="C87" i="1"/>
  <c r="D91" i="1"/>
  <c r="D104" i="1"/>
  <c r="D124" i="1"/>
  <c r="G129" i="1"/>
  <c r="C136" i="1"/>
  <c r="C143" i="1"/>
  <c r="E149" i="1"/>
  <c r="G149" i="1" s="1"/>
  <c r="D156" i="1"/>
  <c r="C168" i="1"/>
  <c r="H168" i="1" s="1"/>
  <c r="J168" i="1" s="1"/>
  <c r="C170" i="1"/>
  <c r="C175" i="1"/>
  <c r="E119" i="1"/>
  <c r="D119" i="1"/>
  <c r="G119" i="1" s="1"/>
  <c r="K119" i="1" s="1"/>
  <c r="N119" i="1" s="1"/>
  <c r="K112" i="1" l="1"/>
  <c r="N112" i="1" s="1"/>
  <c r="M112" i="1"/>
  <c r="N176" i="1"/>
  <c r="K20" i="1"/>
  <c r="N20" i="1" s="1"/>
  <c r="M20" i="1"/>
  <c r="K37" i="1"/>
  <c r="N37" i="1" s="1"/>
  <c r="M37" i="1"/>
  <c r="K88" i="1"/>
  <c r="N88" i="1" s="1"/>
  <c r="M88" i="1"/>
  <c r="G116" i="1"/>
  <c r="K116" i="1" s="1"/>
  <c r="N116" i="1" s="1"/>
  <c r="K21" i="1"/>
  <c r="N21" i="1" s="1"/>
  <c r="M21" i="1"/>
  <c r="K7" i="1"/>
  <c r="N7" i="1" s="1"/>
  <c r="M7" i="1"/>
  <c r="K191" i="1"/>
  <c r="N191" i="1" s="1"/>
  <c r="M191" i="1"/>
  <c r="G105" i="1"/>
  <c r="K105" i="1" s="1"/>
  <c r="N105" i="1" s="1"/>
  <c r="K8" i="1"/>
  <c r="N8" i="1" s="1"/>
  <c r="M8" i="1"/>
  <c r="K5" i="1"/>
  <c r="N5" i="1" s="1"/>
  <c r="M5" i="1"/>
  <c r="G102" i="1"/>
  <c r="K102" i="1" s="1"/>
  <c r="N102" i="1" s="1"/>
  <c r="G187" i="1"/>
  <c r="K187" i="1" s="1"/>
  <c r="K178" i="1"/>
  <c r="N178" i="1" s="1"/>
  <c r="M178" i="1"/>
  <c r="K83" i="1"/>
  <c r="N83" i="1" s="1"/>
  <c r="M83" i="1"/>
  <c r="K2" i="1"/>
  <c r="N2" i="1" s="1"/>
  <c r="M2" i="1"/>
  <c r="N15" i="1"/>
  <c r="G181" i="1"/>
  <c r="K181" i="1" s="1"/>
  <c r="N181" i="1" s="1"/>
  <c r="N159" i="1"/>
  <c r="K80" i="1"/>
  <c r="N80" i="1" s="1"/>
  <c r="M80" i="1"/>
  <c r="K12" i="1"/>
  <c r="N12" i="1" s="1"/>
  <c r="M12" i="1"/>
  <c r="K193" i="1"/>
  <c r="N193" i="1" s="1"/>
  <c r="M193" i="1"/>
  <c r="N192" i="1"/>
  <c r="K52" i="1"/>
  <c r="N52" i="1" s="1"/>
  <c r="M52" i="1"/>
  <c r="N69" i="1"/>
  <c r="G47" i="1"/>
  <c r="K47" i="1" s="1"/>
  <c r="N47" i="1" s="1"/>
  <c r="K189" i="1"/>
  <c r="N189" i="1" s="1"/>
  <c r="M189" i="1"/>
  <c r="K101" i="1"/>
  <c r="N101" i="1" s="1"/>
  <c r="M101" i="1"/>
  <c r="K65" i="1"/>
  <c r="N65" i="1" s="1"/>
  <c r="M65" i="1"/>
  <c r="N70" i="1"/>
  <c r="K60" i="1"/>
  <c r="N60" i="1" s="1"/>
  <c r="M60" i="1"/>
  <c r="N98" i="1"/>
  <c r="N169" i="1"/>
  <c r="K149" i="1"/>
  <c r="N149" i="1" s="1"/>
  <c r="M149" i="1"/>
  <c r="N139" i="1"/>
  <c r="K184" i="1"/>
  <c r="N184" i="1" s="1"/>
  <c r="M184" i="1"/>
  <c r="K6" i="1"/>
  <c r="N6" i="1" s="1"/>
  <c r="M6" i="1"/>
  <c r="N179" i="1"/>
  <c r="K56" i="1"/>
  <c r="N56" i="1" s="1"/>
  <c r="M56" i="1"/>
  <c r="N165" i="1"/>
  <c r="K132" i="1"/>
  <c r="N132" i="1" s="1"/>
  <c r="M132" i="1"/>
  <c r="K62" i="1"/>
  <c r="N62" i="1" s="1"/>
  <c r="M62" i="1"/>
  <c r="K50" i="1"/>
  <c r="N50" i="1" s="1"/>
  <c r="M50" i="1"/>
  <c r="L26" i="1"/>
  <c r="H87" i="1"/>
  <c r="J87" i="1" s="1"/>
  <c r="E87" i="1"/>
  <c r="G87" i="1" s="1"/>
  <c r="K87" i="1" s="1"/>
  <c r="M117" i="1"/>
  <c r="L117" i="1"/>
  <c r="L154" i="1"/>
  <c r="M162" i="1"/>
  <c r="L162" i="1"/>
  <c r="M176" i="1"/>
  <c r="L176" i="1"/>
  <c r="L116" i="1"/>
  <c r="L53" i="1"/>
  <c r="M49" i="1"/>
  <c r="M57" i="1"/>
  <c r="L105" i="1"/>
  <c r="H175" i="1"/>
  <c r="J175" i="1" s="1"/>
  <c r="E175" i="1"/>
  <c r="G175" i="1" s="1"/>
  <c r="K175" i="1" s="1"/>
  <c r="L99" i="1"/>
  <c r="L152" i="1"/>
  <c r="E162" i="1"/>
  <c r="G162" i="1" s="1"/>
  <c r="K162" i="1" s="1"/>
  <c r="M150" i="1"/>
  <c r="L150" i="1"/>
  <c r="N150" i="1" s="1"/>
  <c r="E42" i="1"/>
  <c r="G42" i="1" s="1"/>
  <c r="K42" i="1" s="1"/>
  <c r="M119" i="1"/>
  <c r="M141" i="1"/>
  <c r="M43" i="1"/>
  <c r="L113" i="1"/>
  <c r="H170" i="1"/>
  <c r="J170" i="1" s="1"/>
  <c r="E170" i="1"/>
  <c r="G170" i="1" s="1"/>
  <c r="K170" i="1" s="1"/>
  <c r="L104" i="1"/>
  <c r="M94" i="1"/>
  <c r="L94" i="1"/>
  <c r="M169" i="1"/>
  <c r="L169" i="1"/>
  <c r="M123" i="1"/>
  <c r="E26" i="1"/>
  <c r="G26" i="1" s="1"/>
  <c r="K26" i="1" s="1"/>
  <c r="N26" i="1" s="1"/>
  <c r="E116" i="1"/>
  <c r="M157" i="1"/>
  <c r="L34" i="1"/>
  <c r="M168" i="1"/>
  <c r="L168" i="1"/>
  <c r="N168" i="1" s="1"/>
  <c r="E152" i="1"/>
  <c r="G152" i="1" s="1"/>
  <c r="M171" i="1"/>
  <c r="L171" i="1"/>
  <c r="N171" i="1" s="1"/>
  <c r="H29" i="1"/>
  <c r="J29" i="1" s="1"/>
  <c r="E29" i="1"/>
  <c r="G29" i="1" s="1"/>
  <c r="K29" i="1" s="1"/>
  <c r="L77" i="1"/>
  <c r="H90" i="1"/>
  <c r="J90" i="1" s="1"/>
  <c r="E90" i="1"/>
  <c r="G90" i="1" s="1"/>
  <c r="K90" i="1" s="1"/>
  <c r="M28" i="1"/>
  <c r="G156" i="1"/>
  <c r="K156" i="1" s="1"/>
  <c r="M130" i="1"/>
  <c r="L130" i="1"/>
  <c r="N130" i="1" s="1"/>
  <c r="E135" i="1"/>
  <c r="G135" i="1" s="1"/>
  <c r="K135" i="1" s="1"/>
  <c r="M192" i="1"/>
  <c r="L192" i="1"/>
  <c r="M59" i="1"/>
  <c r="L59" i="1"/>
  <c r="E113" i="1"/>
  <c r="G113" i="1" s="1"/>
  <c r="M71" i="1"/>
  <c r="L71" i="1"/>
  <c r="M166" i="1"/>
  <c r="L47" i="1"/>
  <c r="M86" i="1"/>
  <c r="L86" i="1"/>
  <c r="N86" i="1" s="1"/>
  <c r="E53" i="1"/>
  <c r="G53" i="1" s="1"/>
  <c r="K53" i="1" s="1"/>
  <c r="N53" i="1" s="1"/>
  <c r="M25" i="1"/>
  <c r="L25" i="1"/>
  <c r="N25" i="1" s="1"/>
  <c r="M81" i="1"/>
  <c r="L139" i="1"/>
  <c r="M139" i="1"/>
  <c r="M92" i="1"/>
  <c r="L92" i="1"/>
  <c r="L137" i="1"/>
  <c r="M179" i="1"/>
  <c r="L179" i="1"/>
  <c r="E22" i="1"/>
  <c r="G22" i="1" s="1"/>
  <c r="K22" i="1" s="1"/>
  <c r="H22" i="1"/>
  <c r="J22" i="1" s="1"/>
  <c r="M98" i="1"/>
  <c r="L98" i="1"/>
  <c r="H13" i="1"/>
  <c r="J13" i="1" s="1"/>
  <c r="E13" i="1"/>
  <c r="G13" i="1" s="1"/>
  <c r="K13" i="1" s="1"/>
  <c r="M69" i="1"/>
  <c r="L69" i="1"/>
  <c r="E91" i="1"/>
  <c r="G91" i="1" s="1"/>
  <c r="L67" i="1"/>
  <c r="L30" i="1"/>
  <c r="H127" i="1"/>
  <c r="J127" i="1" s="1"/>
  <c r="E127" i="1"/>
  <c r="G127" i="1" s="1"/>
  <c r="K127" i="1" s="1"/>
  <c r="H143" i="1"/>
  <c r="J143" i="1" s="1"/>
  <c r="E143" i="1"/>
  <c r="G143" i="1" s="1"/>
  <c r="K143" i="1" s="1"/>
  <c r="M187" i="1"/>
  <c r="L187" i="1"/>
  <c r="H107" i="1"/>
  <c r="J107" i="1" s="1"/>
  <c r="E107" i="1"/>
  <c r="G107" i="1" s="1"/>
  <c r="K107" i="1" s="1"/>
  <c r="E142" i="1"/>
  <c r="G142" i="1" s="1"/>
  <c r="M135" i="1"/>
  <c r="L135" i="1"/>
  <c r="M167" i="1"/>
  <c r="L167" i="1"/>
  <c r="N167" i="1" s="1"/>
  <c r="E105" i="1"/>
  <c r="G10" i="1"/>
  <c r="E67" i="1"/>
  <c r="G67" i="1" s="1"/>
  <c r="K67" i="1" s="1"/>
  <c r="N67" i="1" s="1"/>
  <c r="L79" i="1"/>
  <c r="L76" i="1"/>
  <c r="N76" i="1" s="1"/>
  <c r="M76" i="1"/>
  <c r="L103" i="1"/>
  <c r="M93" i="1"/>
  <c r="E108" i="1"/>
  <c r="G108" i="1" s="1"/>
  <c r="K108" i="1" s="1"/>
  <c r="L100" i="1"/>
  <c r="M42" i="1"/>
  <c r="L42" i="1"/>
  <c r="L18" i="1"/>
  <c r="E136" i="1"/>
  <c r="G136" i="1" s="1"/>
  <c r="K136" i="1" s="1"/>
  <c r="H136" i="1"/>
  <c r="J136" i="1" s="1"/>
  <c r="H97" i="1"/>
  <c r="J97" i="1" s="1"/>
  <c r="E97" i="1"/>
  <c r="G97" i="1" s="1"/>
  <c r="K97" i="1" s="1"/>
  <c r="L120" i="1"/>
  <c r="N120" i="1" s="1"/>
  <c r="M120" i="1"/>
  <c r="E137" i="1"/>
  <c r="G137" i="1" s="1"/>
  <c r="M165" i="1"/>
  <c r="L165" i="1"/>
  <c r="L85" i="1"/>
  <c r="M106" i="1"/>
  <c r="L106" i="1"/>
  <c r="N106" i="1" s="1"/>
  <c r="G103" i="1"/>
  <c r="K103" i="1" s="1"/>
  <c r="N103" i="1" s="1"/>
  <c r="L142" i="1"/>
  <c r="M129" i="1"/>
  <c r="K129" i="1"/>
  <c r="N129" i="1" s="1"/>
  <c r="E187" i="1"/>
  <c r="N118" i="1"/>
  <c r="L188" i="1"/>
  <c r="E124" i="1"/>
  <c r="K4" i="1"/>
  <c r="N4" i="1" s="1"/>
  <c r="M4" i="1"/>
  <c r="L75" i="1"/>
  <c r="N75" i="1" s="1"/>
  <c r="M75" i="1"/>
  <c r="L44" i="1"/>
  <c r="N44" i="1" s="1"/>
  <c r="M44" i="1"/>
  <c r="E79" i="1"/>
  <c r="G79" i="1" s="1"/>
  <c r="M14" i="1"/>
  <c r="L14" i="1"/>
  <c r="N14" i="1" s="1"/>
  <c r="H63" i="1"/>
  <c r="J63" i="1" s="1"/>
  <c r="E63" i="1"/>
  <c r="G63" i="1" s="1"/>
  <c r="K63" i="1" s="1"/>
  <c r="E103" i="1"/>
  <c r="L91" i="1"/>
  <c r="G124" i="1"/>
  <c r="K124" i="1" s="1"/>
  <c r="L156" i="1"/>
  <c r="M156" i="1"/>
  <c r="E82" i="1"/>
  <c r="G82" i="1" s="1"/>
  <c r="K82" i="1" s="1"/>
  <c r="H82" i="1"/>
  <c r="J82" i="1" s="1"/>
  <c r="G110" i="1"/>
  <c r="E100" i="1"/>
  <c r="G100" i="1" s="1"/>
  <c r="K100" i="1" s="1"/>
  <c r="N100" i="1" s="1"/>
  <c r="E85" i="1"/>
  <c r="G85" i="1" s="1"/>
  <c r="E77" i="1"/>
  <c r="G77" i="1" s="1"/>
  <c r="K77" i="1" s="1"/>
  <c r="N77" i="1" s="1"/>
  <c r="L39" i="1"/>
  <c r="N39" i="1" s="1"/>
  <c r="M39" i="1"/>
  <c r="E55" i="1"/>
  <c r="G55" i="1" s="1"/>
  <c r="K55" i="1" s="1"/>
  <c r="H55" i="1"/>
  <c r="J55" i="1" s="1"/>
  <c r="M160" i="1"/>
  <c r="M46" i="1"/>
  <c r="E117" i="1"/>
  <c r="G117" i="1" s="1"/>
  <c r="K117" i="1" s="1"/>
  <c r="N117" i="1" s="1"/>
  <c r="M185" i="1"/>
  <c r="L185" i="1"/>
  <c r="N185" i="1" s="1"/>
  <c r="E66" i="1"/>
  <c r="G66" i="1" s="1"/>
  <c r="K66" i="1" s="1"/>
  <c r="H66" i="1"/>
  <c r="J66" i="1" s="1"/>
  <c r="M183" i="1"/>
  <c r="L183" i="1"/>
  <c r="N183" i="1" s="1"/>
  <c r="M138" i="1"/>
  <c r="L138" i="1"/>
  <c r="E73" i="1"/>
  <c r="G73" i="1" s="1"/>
  <c r="E47" i="1"/>
  <c r="M33" i="1"/>
  <c r="L33" i="1"/>
  <c r="N33" i="1" s="1"/>
  <c r="M115" i="1"/>
  <c r="M15" i="1"/>
  <c r="L15" i="1"/>
  <c r="N182" i="1"/>
  <c r="E74" i="1"/>
  <c r="G74" i="1" s="1"/>
  <c r="K74" i="1" s="1"/>
  <c r="E92" i="1"/>
  <c r="G92" i="1" s="1"/>
  <c r="K92" i="1" s="1"/>
  <c r="L190" i="1"/>
  <c r="N95" i="1"/>
  <c r="G138" i="1"/>
  <c r="K138" i="1" s="1"/>
  <c r="L102" i="1"/>
  <c r="N180" i="1"/>
  <c r="L73" i="1"/>
  <c r="M186" i="1"/>
  <c r="E156" i="1"/>
  <c r="M74" i="1"/>
  <c r="L74" i="1"/>
  <c r="M182" i="1"/>
  <c r="L182" i="1"/>
  <c r="M31" i="1"/>
  <c r="L31" i="1"/>
  <c r="N31" i="1" s="1"/>
  <c r="E154" i="1"/>
  <c r="G154" i="1" s="1"/>
  <c r="K154" i="1" s="1"/>
  <c r="N154" i="1" s="1"/>
  <c r="L181" i="1"/>
  <c r="E99" i="1"/>
  <c r="G99" i="1" s="1"/>
  <c r="L122" i="1"/>
  <c r="N122" i="1" s="1"/>
  <c r="M122" i="1"/>
  <c r="E188" i="1"/>
  <c r="G188" i="1" s="1"/>
  <c r="K188" i="1" s="1"/>
  <c r="N188" i="1" s="1"/>
  <c r="M145" i="1"/>
  <c r="L145" i="1"/>
  <c r="N145" i="1" s="1"/>
  <c r="E138" i="1"/>
  <c r="G59" i="1"/>
  <c r="K59" i="1" s="1"/>
  <c r="E71" i="1"/>
  <c r="G71" i="1" s="1"/>
  <c r="K71" i="1" s="1"/>
  <c r="N71" i="1" s="1"/>
  <c r="L23" i="1"/>
  <c r="N23" i="1" s="1"/>
  <c r="M23" i="1"/>
  <c r="E30" i="1"/>
  <c r="G30" i="1" s="1"/>
  <c r="E17" i="1"/>
  <c r="G17" i="1" s="1"/>
  <c r="K17" i="1" s="1"/>
  <c r="H17" i="1"/>
  <c r="J17" i="1" s="1"/>
  <c r="M111" i="1"/>
  <c r="H72" i="1"/>
  <c r="J72" i="1" s="1"/>
  <c r="E72" i="1"/>
  <c r="G72" i="1" s="1"/>
  <c r="K72" i="1" s="1"/>
  <c r="M133" i="1"/>
  <c r="L133" i="1"/>
  <c r="N133" i="1" s="1"/>
  <c r="M36" i="1"/>
  <c r="M11" i="1"/>
  <c r="E18" i="1"/>
  <c r="G18" i="1" s="1"/>
  <c r="N9" i="1"/>
  <c r="E94" i="1"/>
  <c r="G94" i="1" s="1"/>
  <c r="K94" i="1" s="1"/>
  <c r="L124" i="1"/>
  <c r="M124" i="1"/>
  <c r="E181" i="1"/>
  <c r="E190" i="1"/>
  <c r="G190" i="1" s="1"/>
  <c r="K190" i="1" s="1"/>
  <c r="N190" i="1" s="1"/>
  <c r="L155" i="1"/>
  <c r="G126" i="1"/>
  <c r="E102" i="1"/>
  <c r="M164" i="1"/>
  <c r="N163" i="1"/>
  <c r="M108" i="1"/>
  <c r="L108" i="1"/>
  <c r="M134" i="1"/>
  <c r="L70" i="1"/>
  <c r="M70" i="1"/>
  <c r="M153" i="1"/>
  <c r="M78" i="1"/>
  <c r="M159" i="1"/>
  <c r="L159" i="1"/>
  <c r="M173" i="1"/>
  <c r="L173" i="1"/>
  <c r="N173" i="1" s="1"/>
  <c r="G155" i="1"/>
  <c r="K155" i="1" s="1"/>
  <c r="N155" i="1" s="1"/>
  <c r="N121" i="1"/>
  <c r="E104" i="1"/>
  <c r="G104" i="1" s="1"/>
  <c r="M54" i="1"/>
  <c r="L54" i="1"/>
  <c r="N54" i="1" s="1"/>
  <c r="M163" i="1"/>
  <c r="L163" i="1"/>
  <c r="M121" i="1"/>
  <c r="M24" i="1"/>
  <c r="L24" i="1"/>
  <c r="N24" i="1" s="1"/>
  <c r="M140" i="1"/>
  <c r="N61" i="1"/>
  <c r="N148" i="1"/>
  <c r="E34" i="1"/>
  <c r="G34" i="1" s="1"/>
  <c r="M27" i="1"/>
  <c r="K99" i="1" l="1"/>
  <c r="N99" i="1" s="1"/>
  <c r="M99" i="1"/>
  <c r="K142" i="1"/>
  <c r="N142" i="1" s="1"/>
  <c r="M142" i="1"/>
  <c r="K137" i="1"/>
  <c r="N137" i="1" s="1"/>
  <c r="M137" i="1"/>
  <c r="K30" i="1"/>
  <c r="N30" i="1" s="1"/>
  <c r="M30" i="1"/>
  <c r="K34" i="1"/>
  <c r="N34" i="1" s="1"/>
  <c r="M34" i="1"/>
  <c r="K79" i="1"/>
  <c r="N79" i="1" s="1"/>
  <c r="M79" i="1"/>
  <c r="K104" i="1"/>
  <c r="N104" i="1" s="1"/>
  <c r="M104" i="1"/>
  <c r="K113" i="1"/>
  <c r="N113" i="1" s="1"/>
  <c r="M113" i="1"/>
  <c r="K91" i="1"/>
  <c r="N91" i="1" s="1"/>
  <c r="M91" i="1"/>
  <c r="K73" i="1"/>
  <c r="N73" i="1" s="1"/>
  <c r="M73" i="1"/>
  <c r="K18" i="1"/>
  <c r="N18" i="1" s="1"/>
  <c r="M18" i="1"/>
  <c r="K85" i="1"/>
  <c r="N85" i="1" s="1"/>
  <c r="M85" i="1"/>
  <c r="K152" i="1"/>
  <c r="N152" i="1" s="1"/>
  <c r="M152" i="1"/>
  <c r="M136" i="1"/>
  <c r="L136" i="1"/>
  <c r="N136" i="1" s="1"/>
  <c r="N175" i="1"/>
  <c r="M154" i="1"/>
  <c r="M67" i="1"/>
  <c r="M175" i="1"/>
  <c r="L175" i="1"/>
  <c r="N29" i="1"/>
  <c r="M63" i="1"/>
  <c r="L63" i="1"/>
  <c r="N63" i="1" s="1"/>
  <c r="K110" i="1"/>
  <c r="N110" i="1" s="1"/>
  <c r="M110" i="1"/>
  <c r="N135" i="1"/>
  <c r="M105" i="1"/>
  <c r="N87" i="1"/>
  <c r="M155" i="1"/>
  <c r="L82" i="1"/>
  <c r="N82" i="1" s="1"/>
  <c r="M82" i="1"/>
  <c r="M100" i="1"/>
  <c r="L87" i="1"/>
  <c r="M87" i="1"/>
  <c r="K10" i="1"/>
  <c r="N10" i="1" s="1"/>
  <c r="M10" i="1"/>
  <c r="K126" i="1"/>
  <c r="N126" i="1" s="1"/>
  <c r="M126" i="1"/>
  <c r="N108" i="1"/>
  <c r="N13" i="1"/>
  <c r="L127" i="1"/>
  <c r="M127" i="1"/>
  <c r="M102" i="1"/>
  <c r="L107" i="1"/>
  <c r="N107" i="1" s="1"/>
  <c r="M107" i="1"/>
  <c r="M13" i="1"/>
  <c r="L13" i="1"/>
  <c r="N156" i="1"/>
  <c r="M53" i="1"/>
  <c r="M26" i="1"/>
  <c r="M72" i="1"/>
  <c r="L72" i="1"/>
  <c r="N72" i="1" s="1"/>
  <c r="M181" i="1"/>
  <c r="M170" i="1"/>
  <c r="L170" i="1"/>
  <c r="N170" i="1" s="1"/>
  <c r="M17" i="1"/>
  <c r="L17" i="1"/>
  <c r="N17" i="1" s="1"/>
  <c r="N92" i="1"/>
  <c r="M190" i="1"/>
  <c r="N74" i="1"/>
  <c r="N124" i="1"/>
  <c r="M103" i="1"/>
  <c r="N42" i="1"/>
  <c r="N94" i="1"/>
  <c r="L22" i="1"/>
  <c r="M22" i="1"/>
  <c r="N187" i="1"/>
  <c r="M66" i="1"/>
  <c r="L66" i="1"/>
  <c r="N138" i="1"/>
  <c r="N66" i="1"/>
  <c r="N59" i="1"/>
  <c r="N143" i="1"/>
  <c r="N22" i="1"/>
  <c r="M47" i="1"/>
  <c r="M116" i="1"/>
  <c r="N162" i="1"/>
  <c r="M29" i="1"/>
  <c r="L29" i="1"/>
  <c r="M188" i="1"/>
  <c r="M143" i="1"/>
  <c r="L143" i="1"/>
  <c r="M90" i="1"/>
  <c r="L90" i="1"/>
  <c r="N90" i="1" s="1"/>
  <c r="M55" i="1"/>
  <c r="L55" i="1"/>
  <c r="N55" i="1" s="1"/>
  <c r="L97" i="1"/>
  <c r="N97" i="1" s="1"/>
  <c r="M97" i="1"/>
  <c r="N127" i="1"/>
  <c r="M77" i="1"/>
</calcChain>
</file>

<file path=xl/sharedStrings.xml><?xml version="1.0" encoding="utf-8"?>
<sst xmlns="http://schemas.openxmlformats.org/spreadsheetml/2006/main" count="18" uniqueCount="18">
  <si>
    <t>listing price</t>
  </si>
  <si>
    <t>shipping charge</t>
  </si>
  <si>
    <t>tax amount</t>
  </si>
  <si>
    <t>TCG Marketplace Commission</t>
  </si>
  <si>
    <t>paypal fee</t>
  </si>
  <si>
    <t>regular shipping costs (stamp, toploader, envelope)</t>
  </si>
  <si>
    <t>NET PWE</t>
  </si>
  <si>
    <t>direct regular fees</t>
  </si>
  <si>
    <t>direct shipping replacement cost</t>
  </si>
  <si>
    <t>NET DIRECT</t>
  </si>
  <si>
    <t>net % of sale price (regular sale)</t>
  </si>
  <si>
    <t>net % of sale price (TCGdirect)</t>
  </si>
  <si>
    <t>delta btwn programs</t>
  </si>
  <si>
    <t>% diff btwn programs</t>
  </si>
  <si>
    <t>LOOKUP KEY</t>
  </si>
  <si>
    <t>tax rate:</t>
  </si>
  <si>
    <t>download a personal copy of this sheet to adjust these to your own settings</t>
  </si>
  <si>
    <t>shipping charge: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</si>
</sst>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6" x14ac:knownFonts="1">
    <font>
      <sz val="12"/>
      <color theme="1"/>
      <name val="Arial"/>
      <scheme val="minor"/>
    </font>
    <font>
      <b/>
      <sz val="12"/>
      <color theme="1"/>
      <name val="Arial"/>
      <scheme val="minor"/>
    </font>
    <font>
      <b/>
      <sz val="12"/>
      <color rgb="FF000000"/>
      <name val="Arial"/>
      <scheme val="minor"/>
    </font>
    <font>
      <b/>
      <sz val="12"/>
      <color theme="1"/>
      <name val="Arial"/>
      <scheme val="minor"/>
    </font>
    <font>
      <sz val="12"/>
      <color rgb="FF000000"/>
      <name val="Arial"/>
      <scheme val="minor"/>
    </font>
    <font>
      <sz val="12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E5B8B7"/>
        <bgColor rgb="FFE5B8B7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164" fontId="1" fillId="0" borderId="0" xfId="0" applyNumberFormat="1" applyFont="1" applyAlignment="1">
      <alignment wrapText="1"/>
    </xf>
    <xf numFmtId="164" fontId="1" fillId="2" borderId="0" xfId="0" applyNumberFormat="1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164" fontId="1" fillId="3" borderId="0" xfId="0" applyNumberFormat="1" applyFont="1" applyFill="1" applyAlignment="1">
      <alignment wrapText="1"/>
    </xf>
    <xf numFmtId="10" fontId="1" fillId="2" borderId="0" xfId="0" applyNumberFormat="1" applyFont="1" applyFill="1" applyAlignment="1">
      <alignment wrapText="1"/>
    </xf>
    <xf numFmtId="10" fontId="1" fillId="3" borderId="0" xfId="0" applyNumberFormat="1" applyFont="1" applyFill="1" applyAlignment="1">
      <alignment wrapText="1"/>
    </xf>
    <xf numFmtId="0" fontId="1" fillId="0" borderId="0" xfId="0" applyFont="1" applyAlignment="1">
      <alignment wrapText="1"/>
    </xf>
    <xf numFmtId="10" fontId="1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4" fontId="0" fillId="0" borderId="0" xfId="0" applyNumberFormat="1" applyFont="1" applyAlignment="1"/>
    <xf numFmtId="164" fontId="0" fillId="0" borderId="0" xfId="0" applyNumberFormat="1" applyFont="1" applyAlignment="1"/>
    <xf numFmtId="164" fontId="0" fillId="0" borderId="0" xfId="0" applyNumberFormat="1" applyFont="1"/>
    <xf numFmtId="164" fontId="1" fillId="0" borderId="0" xfId="0" applyNumberFormat="1" applyFont="1"/>
    <xf numFmtId="164" fontId="4" fillId="0" borderId="0" xfId="0" applyNumberFormat="1" applyFont="1" applyAlignment="1"/>
    <xf numFmtId="10" fontId="0" fillId="4" borderId="1" xfId="0" applyNumberFormat="1" applyFont="1" applyFill="1" applyBorder="1"/>
    <xf numFmtId="8" fontId="0" fillId="0" borderId="0" xfId="0" applyNumberFormat="1" applyFont="1"/>
    <xf numFmtId="10" fontId="0" fillId="0" borderId="0" xfId="0" applyNumberFormat="1" applyFont="1"/>
    <xf numFmtId="164" fontId="5" fillId="0" borderId="0" xfId="0" applyNumberFormat="1" applyFont="1"/>
    <xf numFmtId="164" fontId="2" fillId="0" borderId="2" xfId="0" applyNumberFormat="1" applyFont="1" applyBorder="1" applyAlignment="1"/>
    <xf numFmtId="164" fontId="1" fillId="0" borderId="0" xfId="0" applyNumberFormat="1" applyFont="1" applyAlignment="1"/>
    <xf numFmtId="164" fontId="1" fillId="0" borderId="2" xfId="0" applyNumberFormat="1" applyFont="1" applyBorder="1" applyAlignment="1"/>
    <xf numFmtId="164" fontId="1" fillId="0" borderId="2" xfId="0" applyNumberFormat="1" applyFont="1" applyBorder="1"/>
    <xf numFmtId="10" fontId="1" fillId="4" borderId="1" xfId="0" applyNumberFormat="1" applyFont="1" applyFill="1" applyBorder="1"/>
    <xf numFmtId="8" fontId="1" fillId="0" borderId="2" xfId="0" applyNumberFormat="1" applyFont="1" applyBorder="1"/>
    <xf numFmtId="10" fontId="1" fillId="0" borderId="0" xfId="0" applyNumberFormat="1" applyFont="1"/>
    <xf numFmtId="0" fontId="3" fillId="0" borderId="0" xfId="0" applyFont="1"/>
    <xf numFmtId="164" fontId="4" fillId="5" borderId="0" xfId="0" applyNumberFormat="1" applyFont="1" applyFill="1" applyAlignment="1"/>
    <xf numFmtId="164" fontId="0" fillId="0" borderId="3" xfId="0" applyNumberFormat="1" applyFont="1" applyBorder="1" applyAlignment="1"/>
    <xf numFmtId="164" fontId="0" fillId="0" borderId="3" xfId="0" applyNumberFormat="1" applyFont="1" applyBorder="1"/>
    <xf numFmtId="164" fontId="0" fillId="5" borderId="0" xfId="0" applyNumberFormat="1" applyFont="1" applyFill="1"/>
    <xf numFmtId="164" fontId="0" fillId="5" borderId="0" xfId="0" applyNumberFormat="1" applyFont="1" applyFill="1" applyAlignment="1"/>
    <xf numFmtId="164" fontId="1" fillId="5" borderId="0" xfId="0" applyNumberFormat="1" applyFont="1" applyFill="1"/>
    <xf numFmtId="164" fontId="2" fillId="0" borderId="0" xfId="0" applyNumberFormat="1" applyFont="1" applyAlignment="1"/>
    <xf numFmtId="164" fontId="1" fillId="0" borderId="0" xfId="0" applyNumberFormat="1" applyFont="1" applyAlignment="1"/>
    <xf numFmtId="8" fontId="1" fillId="0" borderId="0" xfId="0" applyNumberFormat="1" applyFont="1"/>
    <xf numFmtId="10" fontId="0" fillId="6" borderId="4" xfId="0" applyNumberFormat="1" applyFont="1" applyFill="1" applyBorder="1"/>
    <xf numFmtId="10" fontId="0" fillId="7" borderId="4" xfId="0" applyNumberFormat="1" applyFont="1" applyFill="1" applyBorder="1"/>
    <xf numFmtId="10" fontId="0" fillId="6" borderId="1" xfId="0" applyNumberFormat="1" applyFont="1" applyFill="1" applyBorder="1"/>
    <xf numFmtId="10" fontId="0" fillId="0" borderId="4" xfId="0" applyNumberFormat="1" applyFont="1" applyBorder="1"/>
    <xf numFmtId="10" fontId="1" fillId="0" borderId="2" xfId="0" applyNumberFormat="1" applyFont="1" applyBorder="1"/>
    <xf numFmtId="0" fontId="3" fillId="0" borderId="2" xfId="0" applyFont="1" applyBorder="1"/>
    <xf numFmtId="164" fontId="0" fillId="5" borderId="5" xfId="0" applyNumberFormat="1" applyFont="1" applyFill="1" applyBorder="1"/>
    <xf numFmtId="164" fontId="0" fillId="5" borderId="5" xfId="0" applyNumberFormat="1" applyFont="1" applyFill="1" applyBorder="1" applyAlignment="1"/>
    <xf numFmtId="10" fontId="0" fillId="4" borderId="6" xfId="0" applyNumberFormat="1" applyFont="1" applyFill="1" applyBorder="1"/>
    <xf numFmtId="164" fontId="4" fillId="5" borderId="4" xfId="0" applyNumberFormat="1" applyFont="1" applyFill="1" applyBorder="1" applyAlignment="1"/>
    <xf numFmtId="164" fontId="0" fillId="5" borderId="4" xfId="0" applyNumberFormat="1" applyFont="1" applyFill="1" applyBorder="1" applyAlignment="1"/>
    <xf numFmtId="164" fontId="0" fillId="5" borderId="4" xfId="0" applyNumberFormat="1" applyFont="1" applyFill="1" applyBorder="1"/>
    <xf numFmtId="0" fontId="0" fillId="0" borderId="0" xfId="0" applyFont="1"/>
    <xf numFmtId="164" fontId="5" fillId="0" borderId="0" xfId="0" applyNumberFormat="1" applyFont="1" applyAlignment="1"/>
    <xf numFmtId="164" fontId="3" fillId="0" borderId="0" xfId="0" applyNumberFormat="1" applyFont="1"/>
    <xf numFmtId="10" fontId="5" fillId="0" borderId="0" xfId="0" applyNumberFormat="1" applyFont="1"/>
    <xf numFmtId="164" fontId="1" fillId="7" borderId="4" xfId="0" applyNumberFormat="1" applyFont="1" applyFill="1" applyBorder="1"/>
    <xf numFmtId="164" fontId="0" fillId="7" borderId="0" xfId="0" applyNumberFormat="1" applyFont="1" applyFill="1"/>
    <xf numFmtId="164" fontId="0" fillId="7" borderId="0" xfId="0" applyNumberFormat="1" applyFont="1" applyFill="1" applyAlignment="1"/>
    <xf numFmtId="164" fontId="0" fillId="7" borderId="4" xfId="0" applyNumberFormat="1" applyFont="1" applyFill="1" applyBorder="1" applyAlignment="1"/>
    <xf numFmtId="8" fontId="0" fillId="7" borderId="4" xfId="0" applyNumberFormat="1" applyFont="1" applyFill="1" applyBorder="1"/>
    <xf numFmtId="164" fontId="2" fillId="7" borderId="4" xfId="0" applyNumberFormat="1" applyFont="1" applyFill="1" applyBorder="1" applyAlignment="1"/>
    <xf numFmtId="164" fontId="2" fillId="5" borderId="4" xfId="0" applyNumberFormat="1" applyFont="1" applyFill="1" applyBorder="1" applyAlignment="1"/>
    <xf numFmtId="164" fontId="1" fillId="5" borderId="4" xfId="0" applyNumberFormat="1" applyFont="1" applyFill="1" applyBorder="1"/>
    <xf numFmtId="164" fontId="0" fillId="8" borderId="0" xfId="0" applyNumberFormat="1" applyFont="1" applyFill="1"/>
    <xf numFmtId="164" fontId="4" fillId="8" borderId="4" xfId="0" applyNumberFormat="1" applyFont="1" applyFill="1" applyBorder="1" applyAlignment="1"/>
    <xf numFmtId="164" fontId="1" fillId="8" borderId="4" xfId="0" applyNumberFormat="1" applyFont="1" applyFill="1" applyBorder="1"/>
    <xf numFmtId="10" fontId="0" fillId="8" borderId="4" xfId="0" applyNumberFormat="1" applyFont="1" applyFill="1" applyBorder="1"/>
    <xf numFmtId="8" fontId="0" fillId="8" borderId="4" xfId="0" applyNumberFormat="1" applyFont="1" applyFill="1" applyBorder="1"/>
    <xf numFmtId="10" fontId="0" fillId="8" borderId="0" xfId="0" applyNumberFormat="1" applyFont="1" applyFill="1"/>
    <xf numFmtId="164" fontId="4" fillId="7" borderId="4" xfId="0" applyNumberFormat="1" applyFont="1" applyFill="1" applyBorder="1" applyAlignment="1"/>
    <xf numFmtId="164" fontId="2" fillId="7" borderId="0" xfId="0" applyNumberFormat="1" applyFont="1" applyFill="1" applyAlignment="1"/>
    <xf numFmtId="0" fontId="5" fillId="0" borderId="0" xfId="0" applyFont="1" applyAlignment="1"/>
    <xf numFmtId="10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"/>
  <sheetViews>
    <sheetView workbookViewId="0">
      <pane ySplit="1" topLeftCell="A2" activePane="bottomLeft" state="frozen"/>
      <selection pane="bottomLeft" activeCell="B3" sqref="B3"/>
    </sheetView>
  </sheetViews>
  <sheetFormatPr defaultColWidth="10.109375" defaultRowHeight="15" customHeight="1" x14ac:dyDescent="0.2"/>
  <cols>
    <col min="1" max="5" width="9.44140625" customWidth="1"/>
    <col min="6" max="6" width="11.88671875" customWidth="1"/>
    <col min="7" max="7" width="9.44140625" customWidth="1"/>
    <col min="8" max="10" width="9.6640625" customWidth="1"/>
    <col min="11" max="11" width="9.44140625" customWidth="1"/>
    <col min="12" max="14" width="9.6640625" customWidth="1"/>
    <col min="15" max="15" width="12.88671875" customWidth="1"/>
  </cols>
  <sheetData>
    <row r="1" spans="1:15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0" t="s">
        <v>14</v>
      </c>
    </row>
    <row r="2" spans="1:15" ht="15.75" customHeight="1" x14ac:dyDescent="0.25">
      <c r="A2" s="11">
        <v>1</v>
      </c>
      <c r="B2" s="12">
        <f>IF(A2&lt;5,0.99,'tax and shipping settings'!$B$2)</f>
        <v>0.99</v>
      </c>
      <c r="C2" s="11">
        <f>(A2+B2)*'tax and shipping settings'!$B$1</f>
        <v>0.16616500000000001</v>
      </c>
      <c r="D2" s="13">
        <f t="shared" ref="D2:D57" si="0">MIN(50,(A2+B2)*0.1025)</f>
        <v>0.20397499999999999</v>
      </c>
      <c r="E2" s="13">
        <f t="shared" ref="E2:E57" si="1">(A2+B2+C2)*0.025+0.3</f>
        <v>0.35390412500000001</v>
      </c>
      <c r="F2" s="11">
        <v>0.79</v>
      </c>
      <c r="G2" s="14">
        <f t="shared" ref="G2:G57" si="2">A2+B2-D2-E2-F2</f>
        <v>0.64212087499999981</v>
      </c>
      <c r="H2" s="15">
        <v>0</v>
      </c>
      <c r="I2" s="13">
        <f t="shared" ref="I2:I10" si="3">A2/2</f>
        <v>0.5</v>
      </c>
      <c r="J2" s="14">
        <f t="shared" ref="J2:J57" si="4">A2-H2-I2</f>
        <v>0.5</v>
      </c>
      <c r="K2" s="16">
        <f t="shared" ref="K2:K57" si="5">G2/A2</f>
        <v>0.64212087499999981</v>
      </c>
      <c r="L2" s="16">
        <f t="shared" ref="L2:L57" si="6">J2/A2</f>
        <v>0.5</v>
      </c>
      <c r="M2" s="17">
        <f t="shared" ref="M2:M57" si="7">J2-G2</f>
        <v>-0.14212087499999981</v>
      </c>
      <c r="N2" s="18">
        <f t="shared" ref="N2:N57" si="8">(K2-L2)</f>
        <v>0.14212087499999981</v>
      </c>
      <c r="O2" s="19">
        <f>A2</f>
        <v>1</v>
      </c>
    </row>
    <row r="3" spans="1:15" ht="15.75" customHeight="1" x14ac:dyDescent="0.25">
      <c r="A3" s="11">
        <v>1.25</v>
      </c>
      <c r="B3" s="12">
        <f>IF(A3&lt;5,0.99,'tax and shipping settings'!$B$2)</f>
        <v>0.99</v>
      </c>
      <c r="C3" s="11">
        <f>(A3+B3)*'tax and shipping settings'!$B$1</f>
        <v>0.18704000000000004</v>
      </c>
      <c r="D3" s="13">
        <f t="shared" si="0"/>
        <v>0.2296</v>
      </c>
      <c r="E3" s="13">
        <f t="shared" si="1"/>
        <v>0.360676</v>
      </c>
      <c r="F3" s="11">
        <v>0.79</v>
      </c>
      <c r="G3" s="14">
        <f t="shared" si="2"/>
        <v>0.85972400000000015</v>
      </c>
      <c r="H3" s="15">
        <v>0</v>
      </c>
      <c r="I3" s="13">
        <f t="shared" si="3"/>
        <v>0.625</v>
      </c>
      <c r="J3" s="14">
        <f t="shared" si="4"/>
        <v>0.625</v>
      </c>
      <c r="K3" s="16">
        <f t="shared" si="5"/>
        <v>0.68777920000000015</v>
      </c>
      <c r="L3" s="16">
        <f t="shared" si="6"/>
        <v>0.5</v>
      </c>
      <c r="M3" s="17">
        <f t="shared" si="7"/>
        <v>-0.23472400000000015</v>
      </c>
      <c r="N3" s="18">
        <f t="shared" si="8"/>
        <v>0.18777920000000015</v>
      </c>
    </row>
    <row r="4" spans="1:15" ht="15.75" customHeight="1" x14ac:dyDescent="0.25">
      <c r="A4" s="11">
        <v>1.5</v>
      </c>
      <c r="B4" s="12">
        <f>IF(A4&lt;5,0.99,'tax and shipping settings'!$B$2)</f>
        <v>0.99</v>
      </c>
      <c r="C4" s="11">
        <f>(A4+B4)*'tax and shipping settings'!$B$1</f>
        <v>0.20791500000000002</v>
      </c>
      <c r="D4" s="13">
        <f t="shared" si="0"/>
        <v>0.25522499999999998</v>
      </c>
      <c r="E4" s="13">
        <f t="shared" si="1"/>
        <v>0.36744787499999998</v>
      </c>
      <c r="F4" s="11">
        <v>0.79</v>
      </c>
      <c r="G4" s="14">
        <f t="shared" si="2"/>
        <v>1.0773271250000005</v>
      </c>
      <c r="H4" s="15">
        <v>0</v>
      </c>
      <c r="I4" s="13">
        <f t="shared" si="3"/>
        <v>0.75</v>
      </c>
      <c r="J4" s="14">
        <f t="shared" si="4"/>
        <v>0.75</v>
      </c>
      <c r="K4" s="16">
        <f t="shared" si="5"/>
        <v>0.7182180833333337</v>
      </c>
      <c r="L4" s="16">
        <f t="shared" si="6"/>
        <v>0.5</v>
      </c>
      <c r="M4" s="17">
        <f t="shared" si="7"/>
        <v>-0.3273271250000005</v>
      </c>
      <c r="N4" s="18">
        <f t="shared" si="8"/>
        <v>0.2182180833333337</v>
      </c>
    </row>
    <row r="5" spans="1:15" ht="15.75" customHeight="1" x14ac:dyDescent="0.25">
      <c r="A5" s="11">
        <v>1.75</v>
      </c>
      <c r="B5" s="12">
        <f>IF(A5&lt;5,0.99,'tax and shipping settings'!$B$2)</f>
        <v>0.99</v>
      </c>
      <c r="C5" s="11">
        <f>(A5+B5)*'tax and shipping settings'!$B$1</f>
        <v>0.22879000000000002</v>
      </c>
      <c r="D5" s="13">
        <f t="shared" si="0"/>
        <v>0.28084999999999999</v>
      </c>
      <c r="E5" s="13">
        <f t="shared" si="1"/>
        <v>0.37421975000000002</v>
      </c>
      <c r="F5" s="11">
        <v>0.79</v>
      </c>
      <c r="G5" s="14">
        <f t="shared" si="2"/>
        <v>1.2949302500000002</v>
      </c>
      <c r="H5" s="15">
        <v>0</v>
      </c>
      <c r="I5" s="13">
        <f t="shared" si="3"/>
        <v>0.875</v>
      </c>
      <c r="J5" s="14">
        <f t="shared" si="4"/>
        <v>0.875</v>
      </c>
      <c r="K5" s="16">
        <f t="shared" si="5"/>
        <v>0.73996014285714296</v>
      </c>
      <c r="L5" s="16">
        <f t="shared" si="6"/>
        <v>0.5</v>
      </c>
      <c r="M5" s="17">
        <f t="shared" si="7"/>
        <v>-0.41993025000000017</v>
      </c>
      <c r="N5" s="18">
        <f t="shared" si="8"/>
        <v>0.23996014285714296</v>
      </c>
    </row>
    <row r="6" spans="1:15" ht="15.75" customHeight="1" x14ac:dyDescent="0.25">
      <c r="A6" s="13">
        <v>2</v>
      </c>
      <c r="B6" s="12">
        <f>IF(A6&lt;5,0.99,'tax and shipping settings'!$B$2)</f>
        <v>0.99</v>
      </c>
      <c r="C6" s="11">
        <f>(A6+B6)*'tax and shipping settings'!$B$1</f>
        <v>0.24966500000000003</v>
      </c>
      <c r="D6" s="13">
        <f t="shared" si="0"/>
        <v>0.306475</v>
      </c>
      <c r="E6" s="13">
        <f t="shared" si="1"/>
        <v>0.380991625</v>
      </c>
      <c r="F6" s="11">
        <v>0.79</v>
      </c>
      <c r="G6" s="14">
        <f t="shared" si="2"/>
        <v>1.5125333750000003</v>
      </c>
      <c r="H6" s="15">
        <v>0</v>
      </c>
      <c r="I6" s="13">
        <f t="shared" si="3"/>
        <v>1</v>
      </c>
      <c r="J6" s="14">
        <f t="shared" si="4"/>
        <v>1</v>
      </c>
      <c r="K6" s="16">
        <f t="shared" si="5"/>
        <v>0.75626668750000015</v>
      </c>
      <c r="L6" s="16">
        <f t="shared" si="6"/>
        <v>0.5</v>
      </c>
      <c r="M6" s="17">
        <f t="shared" si="7"/>
        <v>-0.51253337500000029</v>
      </c>
      <c r="N6" s="18">
        <f t="shared" si="8"/>
        <v>0.25626668750000015</v>
      </c>
    </row>
    <row r="7" spans="1:15" ht="15.75" customHeight="1" x14ac:dyDescent="0.25">
      <c r="A7" s="11">
        <v>2.25</v>
      </c>
      <c r="B7" s="12">
        <f>IF(A7&lt;5,0.99,'tax and shipping settings'!$B$2)</f>
        <v>0.99</v>
      </c>
      <c r="C7" s="11">
        <f>(A7+B7)*'tax and shipping settings'!$B$1</f>
        <v>0.27054000000000006</v>
      </c>
      <c r="D7" s="13">
        <f t="shared" si="0"/>
        <v>0.33210000000000001</v>
      </c>
      <c r="E7" s="13">
        <f t="shared" si="1"/>
        <v>0.38776349999999998</v>
      </c>
      <c r="F7" s="11">
        <v>0.79</v>
      </c>
      <c r="G7" s="14">
        <f t="shared" si="2"/>
        <v>1.7301365</v>
      </c>
      <c r="H7" s="15">
        <v>0</v>
      </c>
      <c r="I7" s="13">
        <f t="shared" si="3"/>
        <v>1.125</v>
      </c>
      <c r="J7" s="14">
        <f t="shared" si="4"/>
        <v>1.125</v>
      </c>
      <c r="K7" s="16">
        <f t="shared" si="5"/>
        <v>0.76894955555555555</v>
      </c>
      <c r="L7" s="16">
        <f t="shared" si="6"/>
        <v>0.5</v>
      </c>
      <c r="M7" s="17">
        <f t="shared" si="7"/>
        <v>-0.60513649999999997</v>
      </c>
      <c r="N7" s="18">
        <f t="shared" si="8"/>
        <v>0.26894955555555555</v>
      </c>
    </row>
    <row r="8" spans="1:15" ht="15.75" customHeight="1" x14ac:dyDescent="0.25">
      <c r="A8" s="15">
        <v>2.5</v>
      </c>
      <c r="B8" s="12">
        <f>IF(A8&lt;5,0.99,'tax and shipping settings'!$B$2)</f>
        <v>0.99</v>
      </c>
      <c r="C8" s="11">
        <f>(A8+B8)*'tax and shipping settings'!$B$1</f>
        <v>0.29141500000000004</v>
      </c>
      <c r="D8" s="13">
        <f t="shared" si="0"/>
        <v>0.35772500000000002</v>
      </c>
      <c r="E8" s="13">
        <f t="shared" si="1"/>
        <v>0.39453537500000002</v>
      </c>
      <c r="F8" s="11">
        <v>0.79</v>
      </c>
      <c r="G8" s="14">
        <f t="shared" si="2"/>
        <v>1.9477396250000005</v>
      </c>
      <c r="H8" s="15">
        <v>0</v>
      </c>
      <c r="I8" s="13">
        <f t="shared" si="3"/>
        <v>1.25</v>
      </c>
      <c r="J8" s="14">
        <f t="shared" si="4"/>
        <v>1.25</v>
      </c>
      <c r="K8" s="16">
        <f t="shared" si="5"/>
        <v>0.77909585000000026</v>
      </c>
      <c r="L8" s="16">
        <f t="shared" si="6"/>
        <v>0.5</v>
      </c>
      <c r="M8" s="17">
        <f t="shared" si="7"/>
        <v>-0.69773962500000053</v>
      </c>
      <c r="N8" s="18">
        <f t="shared" si="8"/>
        <v>0.27909585000000026</v>
      </c>
    </row>
    <row r="9" spans="1:15" ht="15.75" customHeight="1" x14ac:dyDescent="0.25">
      <c r="A9" s="15">
        <v>2.68</v>
      </c>
      <c r="B9" s="12">
        <f>IF(A9&lt;5,0.99,'tax and shipping settings'!$B$2)</f>
        <v>0.99</v>
      </c>
      <c r="C9" s="11">
        <f>(A9+B9)*'tax and shipping settings'!$B$1</f>
        <v>0.30644500000000002</v>
      </c>
      <c r="D9" s="13">
        <f t="shared" si="0"/>
        <v>0.37617499999999998</v>
      </c>
      <c r="E9" s="13">
        <f t="shared" si="1"/>
        <v>0.39941112499999998</v>
      </c>
      <c r="F9" s="11">
        <v>0.79</v>
      </c>
      <c r="G9" s="14">
        <f t="shared" si="2"/>
        <v>2.1044138750000001</v>
      </c>
      <c r="H9" s="15">
        <v>0</v>
      </c>
      <c r="I9" s="13">
        <f t="shared" si="3"/>
        <v>1.34</v>
      </c>
      <c r="J9" s="14">
        <f t="shared" si="4"/>
        <v>1.34</v>
      </c>
      <c r="K9" s="16">
        <f t="shared" si="5"/>
        <v>0.78522905783582087</v>
      </c>
      <c r="L9" s="16">
        <f t="shared" si="6"/>
        <v>0.5</v>
      </c>
      <c r="M9" s="17">
        <f t="shared" si="7"/>
        <v>-0.76441387500000002</v>
      </c>
      <c r="N9" s="18">
        <f t="shared" si="8"/>
        <v>0.28522905783582087</v>
      </c>
    </row>
    <row r="10" spans="1:15" ht="15.75" customHeight="1" x14ac:dyDescent="0.25">
      <c r="A10" s="20">
        <v>2.99</v>
      </c>
      <c r="B10" s="20">
        <f>IF(A10&lt;5,0.99,'tax and shipping settings'!$B$2)</f>
        <v>0.99</v>
      </c>
      <c r="C10" s="21">
        <f>(A10+B10)*'tax and shipping settings'!$B$1</f>
        <v>0.33233000000000007</v>
      </c>
      <c r="D10" s="14">
        <f t="shared" si="0"/>
        <v>0.40795000000000003</v>
      </c>
      <c r="E10" s="14">
        <f t="shared" si="1"/>
        <v>0.40780824999999998</v>
      </c>
      <c r="F10" s="22">
        <v>0.79</v>
      </c>
      <c r="G10" s="23">
        <f t="shared" si="2"/>
        <v>2.3742417500000004</v>
      </c>
      <c r="H10" s="20">
        <v>0</v>
      </c>
      <c r="I10" s="23">
        <f t="shared" si="3"/>
        <v>1.4950000000000001</v>
      </c>
      <c r="J10" s="23">
        <f t="shared" si="4"/>
        <v>1.4950000000000001</v>
      </c>
      <c r="K10" s="24">
        <f t="shared" si="5"/>
        <v>0.79406078595317731</v>
      </c>
      <c r="L10" s="24">
        <f t="shared" si="6"/>
        <v>0.5</v>
      </c>
      <c r="M10" s="25">
        <f t="shared" si="7"/>
        <v>-0.87924175000000027</v>
      </c>
      <c r="N10" s="26">
        <f t="shared" si="8"/>
        <v>0.29406078595317731</v>
      </c>
      <c r="O10" s="27"/>
    </row>
    <row r="11" spans="1:15" ht="15.75" customHeight="1" x14ac:dyDescent="0.25">
      <c r="A11" s="28">
        <v>3</v>
      </c>
      <c r="B11" s="12">
        <f>IF(A11&lt;5,0.99,'tax and shipping settings'!$B$2)</f>
        <v>0.99</v>
      </c>
      <c r="C11" s="29">
        <f>(A11+B11)*'tax and shipping settings'!$B$1</f>
        <v>0.33316500000000004</v>
      </c>
      <c r="D11" s="30">
        <f t="shared" si="0"/>
        <v>0.40897499999999998</v>
      </c>
      <c r="E11" s="30">
        <f t="shared" si="1"/>
        <v>0.40807912499999999</v>
      </c>
      <c r="F11" s="11">
        <v>0.79</v>
      </c>
      <c r="G11" s="14">
        <f t="shared" si="2"/>
        <v>2.3829458750000003</v>
      </c>
      <c r="H11" s="31">
        <f t="shared" ref="H11:H57" si="9">0.3 + (A11+C11)*(0.025) + A11*(0.0895)</f>
        <v>0.6518291249999999</v>
      </c>
      <c r="I11" s="32">
        <v>1.21</v>
      </c>
      <c r="J11" s="33">
        <f t="shared" si="4"/>
        <v>1.1381708750000001</v>
      </c>
      <c r="K11" s="16">
        <f t="shared" si="5"/>
        <v>0.79431529166666681</v>
      </c>
      <c r="L11" s="16">
        <f t="shared" si="6"/>
        <v>0.37939029166666671</v>
      </c>
      <c r="M11" s="17">
        <f t="shared" si="7"/>
        <v>-1.2447750000000002</v>
      </c>
      <c r="N11" s="18">
        <f t="shared" si="8"/>
        <v>0.4149250000000001</v>
      </c>
    </row>
    <row r="12" spans="1:15" ht="15.75" customHeight="1" x14ac:dyDescent="0.25">
      <c r="A12" s="34">
        <v>3.41</v>
      </c>
      <c r="B12" s="35">
        <f>IF(A12&lt;5,0.99,'tax and shipping settings'!$B$2)</f>
        <v>0.99</v>
      </c>
      <c r="C12" s="21">
        <f>(A12+B12)*'tax and shipping settings'!$B$1</f>
        <v>0.36740000000000006</v>
      </c>
      <c r="D12" s="14">
        <f t="shared" si="0"/>
        <v>0.45100000000000001</v>
      </c>
      <c r="E12" s="14">
        <f t="shared" si="1"/>
        <v>0.41918500000000003</v>
      </c>
      <c r="F12" s="21">
        <v>0.79</v>
      </c>
      <c r="G12" s="14">
        <f t="shared" si="2"/>
        <v>2.7398150000000001</v>
      </c>
      <c r="H12" s="14">
        <f t="shared" si="9"/>
        <v>0.69962999999999997</v>
      </c>
      <c r="I12" s="21">
        <v>1.21</v>
      </c>
      <c r="J12" s="14">
        <f t="shared" si="4"/>
        <v>1.5003700000000002</v>
      </c>
      <c r="K12" s="24">
        <f t="shared" si="5"/>
        <v>0.8034648093841642</v>
      </c>
      <c r="L12" s="24">
        <f t="shared" si="6"/>
        <v>0.43999120234604111</v>
      </c>
      <c r="M12" s="36">
        <f t="shared" si="7"/>
        <v>-1.2394449999999999</v>
      </c>
      <c r="N12" s="26">
        <f t="shared" si="8"/>
        <v>0.36347360703812309</v>
      </c>
      <c r="O12" s="27"/>
    </row>
    <row r="13" spans="1:15" ht="15.75" customHeight="1" x14ac:dyDescent="0.25">
      <c r="A13" s="15">
        <v>3.5</v>
      </c>
      <c r="B13" s="12">
        <f>IF(A13&lt;5,0.99,'tax and shipping settings'!$B$2)</f>
        <v>0.99</v>
      </c>
      <c r="C13" s="11">
        <f>(A13+B13)*'tax and shipping settings'!$B$1</f>
        <v>0.37491500000000005</v>
      </c>
      <c r="D13" s="13">
        <f t="shared" si="0"/>
        <v>0.460225</v>
      </c>
      <c r="E13" s="13">
        <f t="shared" si="1"/>
        <v>0.42162287500000001</v>
      </c>
      <c r="F13" s="11">
        <v>0.79</v>
      </c>
      <c r="G13" s="14">
        <f t="shared" si="2"/>
        <v>2.8181521249999997</v>
      </c>
      <c r="H13" s="13">
        <f t="shared" si="9"/>
        <v>0.71012287499999993</v>
      </c>
      <c r="I13" s="11">
        <v>1.21</v>
      </c>
      <c r="J13" s="14">
        <f t="shared" si="4"/>
        <v>1.5798771250000003</v>
      </c>
      <c r="K13" s="16">
        <f t="shared" si="5"/>
        <v>0.80518632142857138</v>
      </c>
      <c r="L13" s="16">
        <f t="shared" si="6"/>
        <v>0.45139346428571436</v>
      </c>
      <c r="M13" s="17">
        <f t="shared" si="7"/>
        <v>-1.2382749999999993</v>
      </c>
      <c r="N13" s="18">
        <f t="shared" si="8"/>
        <v>0.35379285714285702</v>
      </c>
    </row>
    <row r="14" spans="1:15" ht="15.75" customHeight="1" x14ac:dyDescent="0.25">
      <c r="A14" s="13">
        <v>4</v>
      </c>
      <c r="B14" s="12">
        <f>IF(A14&lt;5,0.99,'tax and shipping settings'!$B$2)</f>
        <v>0.99</v>
      </c>
      <c r="C14" s="11">
        <f>(A14+B14)*'tax and shipping settings'!$B$1</f>
        <v>0.41666500000000006</v>
      </c>
      <c r="D14" s="13">
        <f t="shared" si="0"/>
        <v>0.51147500000000001</v>
      </c>
      <c r="E14" s="13">
        <f t="shared" si="1"/>
        <v>0.43516662500000003</v>
      </c>
      <c r="F14" s="11">
        <v>0.79</v>
      </c>
      <c r="G14" s="14">
        <f t="shared" si="2"/>
        <v>3.2533583750000004</v>
      </c>
      <c r="H14" s="13">
        <f t="shared" si="9"/>
        <v>0.76841662499999996</v>
      </c>
      <c r="I14" s="11">
        <v>1.21</v>
      </c>
      <c r="J14" s="14">
        <f t="shared" si="4"/>
        <v>2.0215833750000001</v>
      </c>
      <c r="K14" s="16">
        <f t="shared" si="5"/>
        <v>0.81333959375000009</v>
      </c>
      <c r="L14" s="16">
        <f t="shared" si="6"/>
        <v>0.50539584375000002</v>
      </c>
      <c r="M14" s="17">
        <f t="shared" si="7"/>
        <v>-1.2317750000000003</v>
      </c>
      <c r="N14" s="18">
        <f t="shared" si="8"/>
        <v>0.30794375000000007</v>
      </c>
    </row>
    <row r="15" spans="1:15" ht="15.75" customHeight="1" x14ac:dyDescent="0.25">
      <c r="A15" s="13">
        <v>4.5</v>
      </c>
      <c r="B15" s="12">
        <f>IF(A15&lt;5,0.99,'tax and shipping settings'!$B$2)</f>
        <v>0.99</v>
      </c>
      <c r="C15" s="11">
        <f>(A15+B15)*'tax and shipping settings'!$B$1</f>
        <v>0.45841500000000002</v>
      </c>
      <c r="D15" s="13">
        <f t="shared" si="0"/>
        <v>0.56272500000000003</v>
      </c>
      <c r="E15" s="13">
        <f t="shared" si="1"/>
        <v>0.44871037499999999</v>
      </c>
      <c r="F15" s="11">
        <v>0.79</v>
      </c>
      <c r="G15" s="14">
        <f t="shared" si="2"/>
        <v>3.6885646249999997</v>
      </c>
      <c r="H15" s="13">
        <f t="shared" si="9"/>
        <v>0.826710375</v>
      </c>
      <c r="I15" s="11">
        <v>1.21</v>
      </c>
      <c r="J15" s="14">
        <f t="shared" si="4"/>
        <v>2.4632896249999998</v>
      </c>
      <c r="K15" s="16">
        <f t="shared" si="5"/>
        <v>0.81968102777777774</v>
      </c>
      <c r="L15" s="16">
        <f t="shared" si="6"/>
        <v>0.54739769444444442</v>
      </c>
      <c r="M15" s="17">
        <f t="shared" si="7"/>
        <v>-1.2252749999999999</v>
      </c>
      <c r="N15" s="18">
        <f t="shared" si="8"/>
        <v>0.27228333333333332</v>
      </c>
    </row>
    <row r="16" spans="1:15" ht="15.75" customHeight="1" x14ac:dyDescent="0.25">
      <c r="A16" s="11">
        <v>4.75</v>
      </c>
      <c r="B16" s="12">
        <f>IF(A16&lt;5,0.99,'tax and shipping settings'!$B$2)</f>
        <v>0.99</v>
      </c>
      <c r="C16" s="11">
        <f>(A16+B16)*'tax and shipping settings'!$B$1</f>
        <v>0.47929000000000005</v>
      </c>
      <c r="D16" s="13">
        <f t="shared" si="0"/>
        <v>0.58835000000000004</v>
      </c>
      <c r="E16" s="13">
        <f t="shared" si="1"/>
        <v>0.45548224999999998</v>
      </c>
      <c r="F16" s="11">
        <v>0.79</v>
      </c>
      <c r="G16" s="14">
        <f t="shared" si="2"/>
        <v>3.9061677499999998</v>
      </c>
      <c r="H16" s="13">
        <f t="shared" si="9"/>
        <v>0.8558572499999999</v>
      </c>
      <c r="I16" s="11">
        <v>1.21</v>
      </c>
      <c r="J16" s="14">
        <f t="shared" si="4"/>
        <v>2.6841427500000004</v>
      </c>
      <c r="K16" s="16">
        <f t="shared" si="5"/>
        <v>0.82235110526315791</v>
      </c>
      <c r="L16" s="16">
        <f t="shared" si="6"/>
        <v>0.56508268421052643</v>
      </c>
      <c r="M16" s="17">
        <f t="shared" si="7"/>
        <v>-1.2220249999999995</v>
      </c>
      <c r="N16" s="18">
        <f t="shared" si="8"/>
        <v>0.25726842105263148</v>
      </c>
    </row>
    <row r="17" spans="1:14" ht="15.75" customHeight="1" x14ac:dyDescent="0.25">
      <c r="A17" s="13">
        <v>5</v>
      </c>
      <c r="B17" s="13">
        <f>IF(A17&lt;5,0.99,'tax and shipping settings'!$B$2)</f>
        <v>1.27</v>
      </c>
      <c r="C17" s="11">
        <f>(A17+B17)*'tax and shipping settings'!$B$1</f>
        <v>0.52354500000000004</v>
      </c>
      <c r="D17" s="13">
        <f t="shared" si="0"/>
        <v>0.64267499999999989</v>
      </c>
      <c r="E17" s="13">
        <f t="shared" si="1"/>
        <v>0.46983862500000001</v>
      </c>
      <c r="F17" s="11">
        <v>0.79</v>
      </c>
      <c r="G17" s="14">
        <f t="shared" si="2"/>
        <v>4.3674863749999995</v>
      </c>
      <c r="H17" s="13">
        <f t="shared" si="9"/>
        <v>0.88558862500000002</v>
      </c>
      <c r="I17" s="11">
        <v>1.21</v>
      </c>
      <c r="J17" s="14">
        <f t="shared" si="4"/>
        <v>2.9044113749999996</v>
      </c>
      <c r="K17" s="16">
        <f t="shared" si="5"/>
        <v>0.87349727499999985</v>
      </c>
      <c r="L17" s="16">
        <f t="shared" si="6"/>
        <v>0.58088227499999989</v>
      </c>
      <c r="M17" s="17">
        <f t="shared" si="7"/>
        <v>-1.4630749999999999</v>
      </c>
      <c r="N17" s="18">
        <f t="shared" si="8"/>
        <v>0.29261499999999996</v>
      </c>
    </row>
    <row r="18" spans="1:14" ht="15.75" customHeight="1" x14ac:dyDescent="0.25">
      <c r="A18" s="13">
        <v>5.25</v>
      </c>
      <c r="B18" s="13">
        <f>IF(A18&lt;5,0.99,'tax and shipping settings'!$B$2)</f>
        <v>1.27</v>
      </c>
      <c r="C18" s="11">
        <f>(A18+B18)*'tax and shipping settings'!$B$1</f>
        <v>0.54442000000000002</v>
      </c>
      <c r="D18" s="13">
        <f t="shared" si="0"/>
        <v>0.66829999999999989</v>
      </c>
      <c r="E18" s="13">
        <f t="shared" si="1"/>
        <v>0.47661049999999999</v>
      </c>
      <c r="F18" s="11">
        <v>0.79</v>
      </c>
      <c r="G18" s="14">
        <f t="shared" si="2"/>
        <v>4.5850894999999996</v>
      </c>
      <c r="H18" s="13">
        <f t="shared" si="9"/>
        <v>0.91473549999999992</v>
      </c>
      <c r="I18" s="11">
        <v>1.21</v>
      </c>
      <c r="J18" s="14">
        <f t="shared" si="4"/>
        <v>3.1252645000000001</v>
      </c>
      <c r="K18" s="16">
        <f t="shared" si="5"/>
        <v>0.87335038095238082</v>
      </c>
      <c r="L18" s="16">
        <f t="shared" si="6"/>
        <v>0.5952884761904762</v>
      </c>
      <c r="M18" s="17">
        <f t="shared" si="7"/>
        <v>-1.4598249999999995</v>
      </c>
      <c r="N18" s="18">
        <f t="shared" si="8"/>
        <v>0.27806190476190462</v>
      </c>
    </row>
    <row r="19" spans="1:14" ht="15.75" customHeight="1" x14ac:dyDescent="0.25">
      <c r="A19" s="13">
        <v>5.5</v>
      </c>
      <c r="B19" s="13">
        <f>IF(A19&lt;5,0.99,'tax and shipping settings'!$B$2)</f>
        <v>1.27</v>
      </c>
      <c r="C19" s="11">
        <f>(A19+B19)*'tax and shipping settings'!$B$1</f>
        <v>0.56529499999999999</v>
      </c>
      <c r="D19" s="13">
        <f t="shared" si="0"/>
        <v>0.6939249999999999</v>
      </c>
      <c r="E19" s="13">
        <f t="shared" si="1"/>
        <v>0.48338237499999998</v>
      </c>
      <c r="F19" s="11">
        <v>0.79</v>
      </c>
      <c r="G19" s="14">
        <f t="shared" si="2"/>
        <v>4.8026926249999997</v>
      </c>
      <c r="H19" s="13">
        <f t="shared" si="9"/>
        <v>0.94388237499999994</v>
      </c>
      <c r="I19" s="11">
        <v>1.21</v>
      </c>
      <c r="J19" s="14">
        <f t="shared" si="4"/>
        <v>3.3461176249999998</v>
      </c>
      <c r="K19" s="16">
        <f t="shared" si="5"/>
        <v>0.87321684090909091</v>
      </c>
      <c r="L19" s="16">
        <f t="shared" si="6"/>
        <v>0.60838502272727268</v>
      </c>
      <c r="M19" s="17">
        <f t="shared" si="7"/>
        <v>-1.456575</v>
      </c>
      <c r="N19" s="18">
        <f t="shared" si="8"/>
        <v>0.26483181818181822</v>
      </c>
    </row>
    <row r="20" spans="1:14" ht="15.75" customHeight="1" x14ac:dyDescent="0.25">
      <c r="A20" s="11">
        <v>5.75</v>
      </c>
      <c r="B20" s="13">
        <f>IF(A20&lt;5,0.99,'tax and shipping settings'!$B$2)</f>
        <v>1.27</v>
      </c>
      <c r="C20" s="11">
        <f>(A20+B20)*'tax and shipping settings'!$B$1</f>
        <v>0.58616999999999997</v>
      </c>
      <c r="D20" s="13">
        <f t="shared" si="0"/>
        <v>0.71954999999999991</v>
      </c>
      <c r="E20" s="13">
        <f t="shared" si="1"/>
        <v>0.49015425000000001</v>
      </c>
      <c r="F20" s="11">
        <v>0.79</v>
      </c>
      <c r="G20" s="14">
        <f t="shared" si="2"/>
        <v>5.0202957499999998</v>
      </c>
      <c r="H20" s="13">
        <f t="shared" si="9"/>
        <v>0.97302924999999996</v>
      </c>
      <c r="I20" s="11">
        <v>1.21</v>
      </c>
      <c r="J20" s="14">
        <f t="shared" si="4"/>
        <v>3.5669707500000003</v>
      </c>
      <c r="K20" s="16">
        <f t="shared" si="5"/>
        <v>0.87309491304347819</v>
      </c>
      <c r="L20" s="16">
        <f t="shared" si="6"/>
        <v>0.62034273913043481</v>
      </c>
      <c r="M20" s="17">
        <f t="shared" si="7"/>
        <v>-1.4533249999999995</v>
      </c>
      <c r="N20" s="18">
        <f t="shared" si="8"/>
        <v>0.25275217391304339</v>
      </c>
    </row>
    <row r="21" spans="1:14" ht="15.75" customHeight="1" x14ac:dyDescent="0.25">
      <c r="A21" s="13">
        <v>6</v>
      </c>
      <c r="B21" s="13">
        <f>IF(A21&lt;5,0.99,'tax and shipping settings'!$B$2)</f>
        <v>1.27</v>
      </c>
      <c r="C21" s="11">
        <f>(A21+B21)*'tax and shipping settings'!$B$1</f>
        <v>0.60704499999999995</v>
      </c>
      <c r="D21" s="13">
        <f t="shared" si="0"/>
        <v>0.74517499999999992</v>
      </c>
      <c r="E21" s="13">
        <f t="shared" si="1"/>
        <v>0.496926125</v>
      </c>
      <c r="F21" s="11">
        <v>0.79</v>
      </c>
      <c r="G21" s="14">
        <f t="shared" si="2"/>
        <v>5.237898875</v>
      </c>
      <c r="H21" s="13">
        <f t="shared" si="9"/>
        <v>1.0021761249999999</v>
      </c>
      <c r="I21" s="11">
        <v>1.21</v>
      </c>
      <c r="J21" s="14">
        <f t="shared" si="4"/>
        <v>3.787823875</v>
      </c>
      <c r="K21" s="16">
        <f t="shared" si="5"/>
        <v>0.87298314583333336</v>
      </c>
      <c r="L21" s="16">
        <f t="shared" si="6"/>
        <v>0.6313039791666667</v>
      </c>
      <c r="M21" s="17">
        <f t="shared" si="7"/>
        <v>-1.450075</v>
      </c>
      <c r="N21" s="18">
        <f t="shared" si="8"/>
        <v>0.24167916666666667</v>
      </c>
    </row>
    <row r="22" spans="1:14" ht="15.75" customHeight="1" x14ac:dyDescent="0.25">
      <c r="A22" s="13">
        <v>6.25</v>
      </c>
      <c r="B22" s="13">
        <f>IF(A22&lt;5,0.99,'tax and shipping settings'!$B$2)</f>
        <v>1.27</v>
      </c>
      <c r="C22" s="11">
        <f>(A22+B22)*'tax and shipping settings'!$B$1</f>
        <v>0.62792000000000003</v>
      </c>
      <c r="D22" s="13">
        <f t="shared" si="0"/>
        <v>0.77079999999999993</v>
      </c>
      <c r="E22" s="13">
        <f t="shared" si="1"/>
        <v>0.50369799999999998</v>
      </c>
      <c r="F22" s="11">
        <v>0.79</v>
      </c>
      <c r="G22" s="14">
        <f t="shared" si="2"/>
        <v>5.4555020000000001</v>
      </c>
      <c r="H22" s="13">
        <f t="shared" si="9"/>
        <v>1.031323</v>
      </c>
      <c r="I22" s="11">
        <v>1.21</v>
      </c>
      <c r="J22" s="14">
        <f t="shared" si="4"/>
        <v>4.0086769999999996</v>
      </c>
      <c r="K22" s="16">
        <f t="shared" si="5"/>
        <v>0.87288032000000004</v>
      </c>
      <c r="L22" s="16">
        <f t="shared" si="6"/>
        <v>0.6413883199999999</v>
      </c>
      <c r="M22" s="17">
        <f t="shared" si="7"/>
        <v>-1.4468250000000005</v>
      </c>
      <c r="N22" s="18">
        <f t="shared" si="8"/>
        <v>0.23149200000000014</v>
      </c>
    </row>
    <row r="23" spans="1:14" ht="15.75" customHeight="1" x14ac:dyDescent="0.25">
      <c r="A23" s="13">
        <v>6.5</v>
      </c>
      <c r="B23" s="13">
        <f>IF(A23&lt;5,0.99,'tax and shipping settings'!$B$2)</f>
        <v>1.27</v>
      </c>
      <c r="C23" s="11">
        <f>(A23+B23)*'tax and shipping settings'!$B$1</f>
        <v>0.64879500000000001</v>
      </c>
      <c r="D23" s="13">
        <f t="shared" si="0"/>
        <v>0.79642499999999994</v>
      </c>
      <c r="E23" s="13">
        <f t="shared" si="1"/>
        <v>0.51046987499999996</v>
      </c>
      <c r="F23" s="11">
        <v>0.79</v>
      </c>
      <c r="G23" s="14">
        <f t="shared" si="2"/>
        <v>5.6731051249999993</v>
      </c>
      <c r="H23" s="13">
        <f t="shared" si="9"/>
        <v>1.0604698749999999</v>
      </c>
      <c r="I23" s="11">
        <v>1.21</v>
      </c>
      <c r="J23" s="14">
        <f t="shared" si="4"/>
        <v>4.2295301250000001</v>
      </c>
      <c r="K23" s="16">
        <f t="shared" si="5"/>
        <v>0.87278540384615377</v>
      </c>
      <c r="L23" s="16">
        <f t="shared" si="6"/>
        <v>0.65069694230769237</v>
      </c>
      <c r="M23" s="17">
        <f t="shared" si="7"/>
        <v>-1.4435749999999992</v>
      </c>
      <c r="N23" s="18">
        <f t="shared" si="8"/>
        <v>0.2220884615384614</v>
      </c>
    </row>
    <row r="24" spans="1:14" ht="15.75" customHeight="1" x14ac:dyDescent="0.25">
      <c r="A24" s="13">
        <v>6.75</v>
      </c>
      <c r="B24" s="13">
        <f>IF(A24&lt;5,0.99,'tax and shipping settings'!$B$2)</f>
        <v>1.27</v>
      </c>
      <c r="C24" s="11">
        <f>(A24+B24)*'tax and shipping settings'!$B$1</f>
        <v>0.66966999999999999</v>
      </c>
      <c r="D24" s="13">
        <f t="shared" si="0"/>
        <v>0.82204999999999995</v>
      </c>
      <c r="E24" s="13">
        <f t="shared" si="1"/>
        <v>0.51724174999999994</v>
      </c>
      <c r="F24" s="11">
        <v>0.79</v>
      </c>
      <c r="G24" s="14">
        <f t="shared" si="2"/>
        <v>5.8907082499999994</v>
      </c>
      <c r="H24" s="13">
        <f t="shared" si="9"/>
        <v>1.08961675</v>
      </c>
      <c r="I24" s="11">
        <v>1.21</v>
      </c>
      <c r="J24" s="14">
        <f t="shared" si="4"/>
        <v>4.4503832499999998</v>
      </c>
      <c r="K24" s="16">
        <f t="shared" si="5"/>
        <v>0.8726975185185184</v>
      </c>
      <c r="L24" s="16">
        <f t="shared" si="6"/>
        <v>0.65931603703703701</v>
      </c>
      <c r="M24" s="17">
        <f t="shared" si="7"/>
        <v>-1.4403249999999996</v>
      </c>
      <c r="N24" s="18">
        <f t="shared" si="8"/>
        <v>0.21338148148148139</v>
      </c>
    </row>
    <row r="25" spans="1:14" ht="15.75" customHeight="1" x14ac:dyDescent="0.25">
      <c r="A25" s="13">
        <v>7</v>
      </c>
      <c r="B25" s="13">
        <f>IF(A25&lt;5,0.99,'tax and shipping settings'!$B$2)</f>
        <v>1.27</v>
      </c>
      <c r="C25" s="11">
        <f>(A25+B25)*'tax and shipping settings'!$B$1</f>
        <v>0.69054499999999996</v>
      </c>
      <c r="D25" s="13">
        <f t="shared" si="0"/>
        <v>0.84767499999999996</v>
      </c>
      <c r="E25" s="13">
        <f t="shared" si="1"/>
        <v>0.52401362500000004</v>
      </c>
      <c r="F25" s="11">
        <v>0.79</v>
      </c>
      <c r="G25" s="14">
        <f t="shared" si="2"/>
        <v>6.1083113749999995</v>
      </c>
      <c r="H25" s="13">
        <f t="shared" si="9"/>
        <v>1.1187636249999999</v>
      </c>
      <c r="I25" s="11">
        <v>1.21</v>
      </c>
      <c r="J25" s="14">
        <f t="shared" si="4"/>
        <v>4.6712363750000003</v>
      </c>
      <c r="K25" s="37">
        <f t="shared" si="5"/>
        <v>0.87261591071428568</v>
      </c>
      <c r="L25" s="16">
        <f t="shared" si="6"/>
        <v>0.66731948214285719</v>
      </c>
      <c r="M25" s="17">
        <f t="shared" si="7"/>
        <v>-1.4370749999999992</v>
      </c>
      <c r="N25" s="18">
        <f t="shared" si="8"/>
        <v>0.20529642857142849</v>
      </c>
    </row>
    <row r="26" spans="1:14" ht="15.75" customHeight="1" x14ac:dyDescent="0.25">
      <c r="A26" s="13">
        <v>7.25</v>
      </c>
      <c r="B26" s="13">
        <f>IF(A26&lt;5,0.99,'tax and shipping settings'!$B$2)</f>
        <v>1.27</v>
      </c>
      <c r="C26" s="11">
        <f>(A26+B26)*'tax and shipping settings'!$B$1</f>
        <v>0.71142000000000005</v>
      </c>
      <c r="D26" s="13">
        <f t="shared" si="0"/>
        <v>0.87329999999999985</v>
      </c>
      <c r="E26" s="13">
        <f t="shared" si="1"/>
        <v>0.53078550000000002</v>
      </c>
      <c r="F26" s="11">
        <v>0.79</v>
      </c>
      <c r="G26" s="14">
        <f t="shared" si="2"/>
        <v>6.3259144999999997</v>
      </c>
      <c r="H26" s="13">
        <f t="shared" si="9"/>
        <v>1.1479105000000001</v>
      </c>
      <c r="I26" s="11">
        <v>1.21</v>
      </c>
      <c r="J26" s="14">
        <f t="shared" si="4"/>
        <v>4.8920895</v>
      </c>
      <c r="K26" s="37">
        <f t="shared" si="5"/>
        <v>0.87253993103448269</v>
      </c>
      <c r="L26" s="16">
        <f t="shared" si="6"/>
        <v>0.67477096551724136</v>
      </c>
      <c r="M26" s="17">
        <f t="shared" si="7"/>
        <v>-1.4338249999999997</v>
      </c>
      <c r="N26" s="18">
        <f t="shared" si="8"/>
        <v>0.19776896551724132</v>
      </c>
    </row>
    <row r="27" spans="1:14" ht="15.75" customHeight="1" x14ac:dyDescent="0.25">
      <c r="A27" s="13">
        <v>7.5</v>
      </c>
      <c r="B27" s="13">
        <f>IF(A27&lt;5,0.99,'tax and shipping settings'!$B$2)</f>
        <v>1.27</v>
      </c>
      <c r="C27" s="11">
        <f>(A27+B27)*'tax and shipping settings'!$B$1</f>
        <v>0.73229500000000003</v>
      </c>
      <c r="D27" s="13">
        <f t="shared" si="0"/>
        <v>0.89892499999999986</v>
      </c>
      <c r="E27" s="13">
        <f t="shared" si="1"/>
        <v>0.537557375</v>
      </c>
      <c r="F27" s="11">
        <v>0.79</v>
      </c>
      <c r="G27" s="14">
        <f t="shared" si="2"/>
        <v>6.5435176249999989</v>
      </c>
      <c r="H27" s="13">
        <f t="shared" si="9"/>
        <v>1.177057375</v>
      </c>
      <c r="I27" s="11">
        <v>1.21</v>
      </c>
      <c r="J27" s="14">
        <f t="shared" si="4"/>
        <v>5.1129426249999996</v>
      </c>
      <c r="K27" s="37">
        <f t="shared" si="5"/>
        <v>0.87246901666666654</v>
      </c>
      <c r="L27" s="16">
        <f t="shared" si="6"/>
        <v>0.68172568333333328</v>
      </c>
      <c r="M27" s="17">
        <f t="shared" si="7"/>
        <v>-1.4305749999999993</v>
      </c>
      <c r="N27" s="18">
        <f t="shared" si="8"/>
        <v>0.19074333333333326</v>
      </c>
    </row>
    <row r="28" spans="1:14" ht="15.75" customHeight="1" x14ac:dyDescent="0.25">
      <c r="A28" s="13">
        <v>7.75</v>
      </c>
      <c r="B28" s="13">
        <f>IF(A28&lt;5,0.99,'tax and shipping settings'!$B$2)</f>
        <v>1.27</v>
      </c>
      <c r="C28" s="11">
        <f>(A28+B28)*'tax and shipping settings'!$B$1</f>
        <v>0.75317000000000001</v>
      </c>
      <c r="D28" s="13">
        <f t="shared" si="0"/>
        <v>0.92454999999999987</v>
      </c>
      <c r="E28" s="13">
        <f t="shared" si="1"/>
        <v>0.54432924999999999</v>
      </c>
      <c r="F28" s="11">
        <v>0.79</v>
      </c>
      <c r="G28" s="14">
        <f t="shared" si="2"/>
        <v>6.7611207499999999</v>
      </c>
      <c r="H28" s="13">
        <f t="shared" si="9"/>
        <v>1.2062042499999999</v>
      </c>
      <c r="I28" s="11">
        <v>1.21</v>
      </c>
      <c r="J28" s="14">
        <f t="shared" si="4"/>
        <v>5.3337957500000002</v>
      </c>
      <c r="K28" s="37">
        <f t="shared" si="5"/>
        <v>0.87240267741935484</v>
      </c>
      <c r="L28" s="16">
        <f t="shared" si="6"/>
        <v>0.68823170967741942</v>
      </c>
      <c r="M28" s="17">
        <f t="shared" si="7"/>
        <v>-1.4273249999999997</v>
      </c>
      <c r="N28" s="18">
        <f t="shared" si="8"/>
        <v>0.18417096774193542</v>
      </c>
    </row>
    <row r="29" spans="1:14" ht="15.75" customHeight="1" x14ac:dyDescent="0.25">
      <c r="A29" s="13">
        <v>8</v>
      </c>
      <c r="B29" s="13">
        <f>IF(A29&lt;5,0.99,'tax and shipping settings'!$B$2)</f>
        <v>1.27</v>
      </c>
      <c r="C29" s="11">
        <f>(A29+B29)*'tax and shipping settings'!$B$1</f>
        <v>0.77404499999999998</v>
      </c>
      <c r="D29" s="13">
        <f t="shared" si="0"/>
        <v>0.95017499999999988</v>
      </c>
      <c r="E29" s="13">
        <f t="shared" si="1"/>
        <v>0.55110112499999997</v>
      </c>
      <c r="F29" s="11">
        <v>0.79</v>
      </c>
      <c r="G29" s="14">
        <f t="shared" si="2"/>
        <v>6.978723875</v>
      </c>
      <c r="H29" s="13">
        <f t="shared" si="9"/>
        <v>1.235351125</v>
      </c>
      <c r="I29" s="11">
        <v>1.21</v>
      </c>
      <c r="J29" s="14">
        <f t="shared" si="4"/>
        <v>5.5546488749999998</v>
      </c>
      <c r="K29" s="37">
        <f t="shared" si="5"/>
        <v>0.872340484375</v>
      </c>
      <c r="L29" s="16">
        <f t="shared" si="6"/>
        <v>0.69433110937499998</v>
      </c>
      <c r="M29" s="17">
        <f t="shared" si="7"/>
        <v>-1.4240750000000002</v>
      </c>
      <c r="N29" s="18">
        <f t="shared" si="8"/>
        <v>0.17800937500000003</v>
      </c>
    </row>
    <row r="30" spans="1:14" ht="15.75" customHeight="1" x14ac:dyDescent="0.25">
      <c r="A30" s="13">
        <v>8.25</v>
      </c>
      <c r="B30" s="13">
        <f>IF(A30&lt;5,0.99,'tax and shipping settings'!$B$2)</f>
        <v>1.27</v>
      </c>
      <c r="C30" s="11">
        <f>(A30+B30)*'tax and shipping settings'!$B$1</f>
        <v>0.79491999999999996</v>
      </c>
      <c r="D30" s="13">
        <f t="shared" si="0"/>
        <v>0.97579999999999989</v>
      </c>
      <c r="E30" s="13">
        <f t="shared" si="1"/>
        <v>0.55787299999999995</v>
      </c>
      <c r="F30" s="11">
        <v>0.79</v>
      </c>
      <c r="G30" s="14">
        <f t="shared" si="2"/>
        <v>7.1963270000000001</v>
      </c>
      <c r="H30" s="13">
        <f t="shared" si="9"/>
        <v>1.2644980000000001</v>
      </c>
      <c r="I30" s="11">
        <v>1.21</v>
      </c>
      <c r="J30" s="14">
        <f t="shared" si="4"/>
        <v>5.7755020000000004</v>
      </c>
      <c r="K30" s="38">
        <f t="shared" si="5"/>
        <v>0.87228206060606062</v>
      </c>
      <c r="L30" s="39">
        <f t="shared" si="6"/>
        <v>0.70006084848484851</v>
      </c>
      <c r="M30" s="17">
        <f t="shared" si="7"/>
        <v>-1.4208249999999998</v>
      </c>
      <c r="N30" s="18">
        <f t="shared" si="8"/>
        <v>0.17222121212121211</v>
      </c>
    </row>
    <row r="31" spans="1:14" ht="15.75" customHeight="1" x14ac:dyDescent="0.25">
      <c r="A31" s="13">
        <v>8.5</v>
      </c>
      <c r="B31" s="13">
        <f>IF(A31&lt;5,0.99,'tax and shipping settings'!$B$2)</f>
        <v>1.27</v>
      </c>
      <c r="C31" s="11">
        <f>(A31+B31)*'tax and shipping settings'!$B$1</f>
        <v>0.81579500000000005</v>
      </c>
      <c r="D31" s="13">
        <f t="shared" si="0"/>
        <v>1.0014249999999998</v>
      </c>
      <c r="E31" s="13">
        <f t="shared" si="1"/>
        <v>0.56464487499999994</v>
      </c>
      <c r="F31" s="11">
        <v>0.79</v>
      </c>
      <c r="G31" s="14">
        <f t="shared" si="2"/>
        <v>7.4139301249999994</v>
      </c>
      <c r="H31" s="13">
        <f t="shared" si="9"/>
        <v>1.293644875</v>
      </c>
      <c r="I31" s="11">
        <v>1.21</v>
      </c>
      <c r="J31" s="14">
        <f t="shared" si="4"/>
        <v>5.996355125</v>
      </c>
      <c r="K31" s="38">
        <f t="shared" si="5"/>
        <v>0.87222707352941165</v>
      </c>
      <c r="L31" s="39">
        <f t="shared" si="6"/>
        <v>0.70545354411764705</v>
      </c>
      <c r="M31" s="17">
        <f t="shared" si="7"/>
        <v>-1.4175749999999994</v>
      </c>
      <c r="N31" s="18">
        <f t="shared" si="8"/>
        <v>0.1667735294117646</v>
      </c>
    </row>
    <row r="32" spans="1:14" ht="15.75" customHeight="1" x14ac:dyDescent="0.25">
      <c r="A32" s="13">
        <v>8.75</v>
      </c>
      <c r="B32" s="13">
        <f>IF(A32&lt;5,0.99,'tax and shipping settings'!$B$2)</f>
        <v>1.27</v>
      </c>
      <c r="C32" s="11">
        <f>(A32+B32)*'tax and shipping settings'!$B$1</f>
        <v>0.83667000000000002</v>
      </c>
      <c r="D32" s="13">
        <f t="shared" si="0"/>
        <v>1.0270499999999998</v>
      </c>
      <c r="E32" s="13">
        <f t="shared" si="1"/>
        <v>0.57141675000000003</v>
      </c>
      <c r="F32" s="11">
        <v>0.79</v>
      </c>
      <c r="G32" s="14">
        <f t="shared" si="2"/>
        <v>7.6315332499999995</v>
      </c>
      <c r="H32" s="13">
        <f t="shared" si="9"/>
        <v>1.3227917499999999</v>
      </c>
      <c r="I32" s="11">
        <v>1.21</v>
      </c>
      <c r="J32" s="14">
        <f t="shared" si="4"/>
        <v>6.2172082499999997</v>
      </c>
      <c r="K32" s="38">
        <f t="shared" si="5"/>
        <v>0.87217522857142848</v>
      </c>
      <c r="L32" s="39">
        <f t="shared" si="6"/>
        <v>0.71053808571428567</v>
      </c>
      <c r="M32" s="17">
        <f t="shared" si="7"/>
        <v>-1.4143249999999998</v>
      </c>
      <c r="N32" s="18">
        <f t="shared" si="8"/>
        <v>0.16163714285714281</v>
      </c>
    </row>
    <row r="33" spans="1:14" ht="15.75" customHeight="1" x14ac:dyDescent="0.25">
      <c r="A33" s="13">
        <v>9</v>
      </c>
      <c r="B33" s="13">
        <f>IF(A33&lt;5,0.99,'tax and shipping settings'!$B$2)</f>
        <v>1.27</v>
      </c>
      <c r="C33" s="11">
        <f>(A33+B33)*'tax and shipping settings'!$B$1</f>
        <v>0.857545</v>
      </c>
      <c r="D33" s="13">
        <f t="shared" si="0"/>
        <v>1.0526749999999998</v>
      </c>
      <c r="E33" s="13">
        <f t="shared" si="1"/>
        <v>0.57818862500000001</v>
      </c>
      <c r="F33" s="11">
        <v>0.79</v>
      </c>
      <c r="G33" s="14">
        <f t="shared" si="2"/>
        <v>7.8491363749999996</v>
      </c>
      <c r="H33" s="13">
        <f t="shared" si="9"/>
        <v>1.3519386249999998</v>
      </c>
      <c r="I33" s="11">
        <v>1.21</v>
      </c>
      <c r="J33" s="14">
        <f t="shared" si="4"/>
        <v>6.4380613750000002</v>
      </c>
      <c r="K33" s="38">
        <f t="shared" si="5"/>
        <v>0.87212626388888881</v>
      </c>
      <c r="L33" s="37">
        <f t="shared" si="6"/>
        <v>0.71534015277777785</v>
      </c>
      <c r="M33" s="17">
        <f t="shared" si="7"/>
        <v>-1.4110749999999994</v>
      </c>
      <c r="N33" s="18">
        <f t="shared" si="8"/>
        <v>0.15678611111111096</v>
      </c>
    </row>
    <row r="34" spans="1:14" ht="15.75" customHeight="1" x14ac:dyDescent="0.25">
      <c r="A34" s="13">
        <v>9.25</v>
      </c>
      <c r="B34" s="13">
        <f>IF(A34&lt;5,0.99,'tax and shipping settings'!$B$2)</f>
        <v>1.27</v>
      </c>
      <c r="C34" s="11">
        <f>(A34+B34)*'tax and shipping settings'!$B$1</f>
        <v>0.87841999999999998</v>
      </c>
      <c r="D34" s="13">
        <f t="shared" si="0"/>
        <v>1.0782999999999998</v>
      </c>
      <c r="E34" s="13">
        <f t="shared" si="1"/>
        <v>0.58496049999999999</v>
      </c>
      <c r="F34" s="11">
        <v>0.79</v>
      </c>
      <c r="G34" s="14">
        <f t="shared" si="2"/>
        <v>8.0667395000000006</v>
      </c>
      <c r="H34" s="13">
        <f t="shared" si="9"/>
        <v>1.3810855</v>
      </c>
      <c r="I34" s="11">
        <v>1.21</v>
      </c>
      <c r="J34" s="14">
        <f t="shared" si="4"/>
        <v>6.6589144999999998</v>
      </c>
      <c r="K34" s="38">
        <f t="shared" si="5"/>
        <v>0.87207994594594607</v>
      </c>
      <c r="L34" s="37">
        <f t="shared" si="6"/>
        <v>0.71988264864864859</v>
      </c>
      <c r="M34" s="17">
        <f t="shared" si="7"/>
        <v>-1.4078250000000008</v>
      </c>
      <c r="N34" s="18">
        <f t="shared" si="8"/>
        <v>0.15219729729729747</v>
      </c>
    </row>
    <row r="35" spans="1:14" ht="15.75" customHeight="1" x14ac:dyDescent="0.25">
      <c r="A35" s="13">
        <v>9.5</v>
      </c>
      <c r="B35" s="13">
        <f>IF(A35&lt;5,0.99,'tax and shipping settings'!$B$2)</f>
        <v>1.27</v>
      </c>
      <c r="C35" s="11">
        <f>(A35+B35)*'tax and shipping settings'!$B$1</f>
        <v>0.89929500000000007</v>
      </c>
      <c r="D35" s="13">
        <f t="shared" si="0"/>
        <v>1.1039249999999998</v>
      </c>
      <c r="E35" s="13">
        <f t="shared" si="1"/>
        <v>0.59173237499999998</v>
      </c>
      <c r="F35" s="11">
        <v>0.79</v>
      </c>
      <c r="G35" s="14">
        <f t="shared" si="2"/>
        <v>8.2843426250000007</v>
      </c>
      <c r="H35" s="13">
        <f t="shared" si="9"/>
        <v>1.4102323750000001</v>
      </c>
      <c r="I35" s="11">
        <v>1.21</v>
      </c>
      <c r="J35" s="14">
        <f t="shared" si="4"/>
        <v>6.8797676250000004</v>
      </c>
      <c r="K35" s="38">
        <f t="shared" si="5"/>
        <v>0.87203606578947379</v>
      </c>
      <c r="L35" s="37">
        <f t="shared" si="6"/>
        <v>0.72418606578947375</v>
      </c>
      <c r="M35" s="17">
        <f t="shared" si="7"/>
        <v>-1.4045750000000004</v>
      </c>
      <c r="N35" s="18">
        <f t="shared" si="8"/>
        <v>0.14785000000000004</v>
      </c>
    </row>
    <row r="36" spans="1:14" ht="15.75" customHeight="1" x14ac:dyDescent="0.25">
      <c r="A36" s="13">
        <v>9.75</v>
      </c>
      <c r="B36" s="13">
        <f>IF(A36&lt;5,0.99,'tax and shipping settings'!$B$2)</f>
        <v>1.27</v>
      </c>
      <c r="C36" s="11">
        <f>(A36+B36)*'tax and shipping settings'!$B$1</f>
        <v>0.92017000000000004</v>
      </c>
      <c r="D36" s="13">
        <f t="shared" si="0"/>
        <v>1.1295499999999998</v>
      </c>
      <c r="E36" s="13">
        <f t="shared" si="1"/>
        <v>0.59850424999999996</v>
      </c>
      <c r="F36" s="11">
        <v>0.79</v>
      </c>
      <c r="G36" s="14">
        <f t="shared" si="2"/>
        <v>8.5019457500000009</v>
      </c>
      <c r="H36" s="13">
        <f t="shared" si="9"/>
        <v>1.43937925</v>
      </c>
      <c r="I36" s="11">
        <v>1.21</v>
      </c>
      <c r="J36" s="14">
        <f t="shared" si="4"/>
        <v>7.10062075</v>
      </c>
      <c r="K36" s="38">
        <f t="shared" si="5"/>
        <v>0.87199443589743597</v>
      </c>
      <c r="L36" s="37">
        <f t="shared" si="6"/>
        <v>0.72826879487179486</v>
      </c>
      <c r="M36" s="17">
        <f t="shared" si="7"/>
        <v>-1.4013250000000008</v>
      </c>
      <c r="N36" s="18">
        <f t="shared" si="8"/>
        <v>0.14372564102564112</v>
      </c>
    </row>
    <row r="37" spans="1:14" ht="15.75" customHeight="1" x14ac:dyDescent="0.25">
      <c r="A37" s="13">
        <v>10</v>
      </c>
      <c r="B37" s="13">
        <f>IF(A37&lt;5,0.99,'tax and shipping settings'!$B$2)</f>
        <v>1.27</v>
      </c>
      <c r="C37" s="11">
        <f>(A37+B37)*'tax and shipping settings'!$B$1</f>
        <v>0.94104500000000002</v>
      </c>
      <c r="D37" s="13">
        <f t="shared" si="0"/>
        <v>1.1551749999999998</v>
      </c>
      <c r="E37" s="13">
        <f t="shared" si="1"/>
        <v>0.60527612500000005</v>
      </c>
      <c r="F37" s="11">
        <v>0.79</v>
      </c>
      <c r="G37" s="14">
        <f t="shared" si="2"/>
        <v>8.719548875000001</v>
      </c>
      <c r="H37" s="13">
        <f t="shared" si="9"/>
        <v>1.4685261249999999</v>
      </c>
      <c r="I37" s="11">
        <v>1.21</v>
      </c>
      <c r="J37" s="14">
        <f t="shared" si="4"/>
        <v>7.3214738749999997</v>
      </c>
      <c r="K37" s="38">
        <f t="shared" si="5"/>
        <v>0.87195488750000005</v>
      </c>
      <c r="L37" s="37">
        <f t="shared" si="6"/>
        <v>0.73214738749999997</v>
      </c>
      <c r="M37" s="17">
        <f t="shared" si="7"/>
        <v>-1.3980750000000013</v>
      </c>
      <c r="N37" s="18">
        <f t="shared" si="8"/>
        <v>0.13980750000000008</v>
      </c>
    </row>
    <row r="38" spans="1:14" ht="15.75" customHeight="1" x14ac:dyDescent="0.25">
      <c r="A38" s="13">
        <v>10.5</v>
      </c>
      <c r="B38" s="13">
        <f>IF(A38&lt;5,0.99,'tax and shipping settings'!$B$2)</f>
        <v>1.27</v>
      </c>
      <c r="C38" s="11">
        <f>(A38+B38)*'tax and shipping settings'!$B$1</f>
        <v>0.98279499999999997</v>
      </c>
      <c r="D38" s="13">
        <f t="shared" si="0"/>
        <v>1.2064249999999999</v>
      </c>
      <c r="E38" s="13">
        <f t="shared" si="1"/>
        <v>0.61881987500000002</v>
      </c>
      <c r="F38" s="11">
        <v>0.79</v>
      </c>
      <c r="G38" s="14">
        <f t="shared" si="2"/>
        <v>9.1547551250000012</v>
      </c>
      <c r="H38" s="13">
        <f t="shared" si="9"/>
        <v>1.5268198749999999</v>
      </c>
      <c r="I38" s="11">
        <v>1.21</v>
      </c>
      <c r="J38" s="14">
        <f t="shared" si="4"/>
        <v>7.7631801250000008</v>
      </c>
      <c r="K38" s="38">
        <f t="shared" si="5"/>
        <v>0.87188144047619054</v>
      </c>
      <c r="L38" s="38">
        <f t="shared" si="6"/>
        <v>0.73935048809523818</v>
      </c>
      <c r="M38" s="17">
        <f t="shared" si="7"/>
        <v>-1.3915750000000005</v>
      </c>
      <c r="N38" s="18">
        <f t="shared" si="8"/>
        <v>0.13253095238095236</v>
      </c>
    </row>
    <row r="39" spans="1:14" ht="15.75" customHeight="1" x14ac:dyDescent="0.25">
      <c r="A39" s="13">
        <v>11</v>
      </c>
      <c r="B39" s="13">
        <f>IF(A39&lt;5,0.99,'tax and shipping settings'!$B$2)</f>
        <v>1.27</v>
      </c>
      <c r="C39" s="11">
        <f>(A39+B39)*'tax and shipping settings'!$B$1</f>
        <v>1.024545</v>
      </c>
      <c r="D39" s="13">
        <f t="shared" si="0"/>
        <v>1.2576749999999999</v>
      </c>
      <c r="E39" s="13">
        <f t="shared" si="1"/>
        <v>0.63236362499999998</v>
      </c>
      <c r="F39" s="11">
        <v>0.79</v>
      </c>
      <c r="G39" s="14">
        <f t="shared" si="2"/>
        <v>9.5899613750000015</v>
      </c>
      <c r="H39" s="13">
        <f t="shared" si="9"/>
        <v>1.585113625</v>
      </c>
      <c r="I39" s="11">
        <v>1.21</v>
      </c>
      <c r="J39" s="14">
        <f t="shared" si="4"/>
        <v>8.204886375000001</v>
      </c>
      <c r="K39" s="38">
        <f t="shared" si="5"/>
        <v>0.87181467045454564</v>
      </c>
      <c r="L39" s="38">
        <f t="shared" si="6"/>
        <v>0.74589876136363642</v>
      </c>
      <c r="M39" s="17">
        <f t="shared" si="7"/>
        <v>-1.3850750000000005</v>
      </c>
      <c r="N39" s="18">
        <f t="shared" si="8"/>
        <v>0.12591590909090922</v>
      </c>
    </row>
    <row r="40" spans="1:14" ht="15.75" customHeight="1" x14ac:dyDescent="0.25">
      <c r="A40" s="13">
        <v>11.5</v>
      </c>
      <c r="B40" s="13">
        <f>IF(A40&lt;5,0.99,'tax and shipping settings'!$B$2)</f>
        <v>1.27</v>
      </c>
      <c r="C40" s="11">
        <f>(A40+B40)*'tax and shipping settings'!$B$1</f>
        <v>1.066295</v>
      </c>
      <c r="D40" s="13">
        <f t="shared" si="0"/>
        <v>1.3089249999999999</v>
      </c>
      <c r="E40" s="13">
        <f t="shared" si="1"/>
        <v>0.64590737499999995</v>
      </c>
      <c r="F40" s="11">
        <v>0.79</v>
      </c>
      <c r="G40" s="14">
        <f t="shared" si="2"/>
        <v>10.025167624999998</v>
      </c>
      <c r="H40" s="13">
        <f t="shared" si="9"/>
        <v>1.643407375</v>
      </c>
      <c r="I40" s="11">
        <v>1.21</v>
      </c>
      <c r="J40" s="14">
        <f t="shared" si="4"/>
        <v>8.6465926250000003</v>
      </c>
      <c r="K40" s="40">
        <f t="shared" si="5"/>
        <v>0.871753706521739</v>
      </c>
      <c r="L40" s="38">
        <f t="shared" si="6"/>
        <v>0.75187761956521737</v>
      </c>
      <c r="M40" s="17">
        <f t="shared" si="7"/>
        <v>-1.3785749999999979</v>
      </c>
      <c r="N40" s="18">
        <f t="shared" si="8"/>
        <v>0.11987608695652163</v>
      </c>
    </row>
    <row r="41" spans="1:14" ht="15.75" customHeight="1" x14ac:dyDescent="0.25">
      <c r="A41" s="13">
        <v>12</v>
      </c>
      <c r="B41" s="13">
        <f>IF(A41&lt;5,0.99,'tax and shipping settings'!$B$2)</f>
        <v>1.27</v>
      </c>
      <c r="C41" s="11">
        <f>(A41+B41)*'tax and shipping settings'!$B$1</f>
        <v>1.1080449999999999</v>
      </c>
      <c r="D41" s="13">
        <f t="shared" si="0"/>
        <v>1.3601749999999999</v>
      </c>
      <c r="E41" s="13">
        <f t="shared" si="1"/>
        <v>0.65945112500000003</v>
      </c>
      <c r="F41" s="11">
        <v>0.79</v>
      </c>
      <c r="G41" s="14">
        <f t="shared" si="2"/>
        <v>10.460373874999998</v>
      </c>
      <c r="H41" s="13">
        <f t="shared" si="9"/>
        <v>1.7017011249999998</v>
      </c>
      <c r="I41" s="11">
        <v>1.21</v>
      </c>
      <c r="J41" s="14">
        <f t="shared" si="4"/>
        <v>9.0882988749999996</v>
      </c>
      <c r="K41" s="18">
        <f t="shared" si="5"/>
        <v>0.87169782291666653</v>
      </c>
      <c r="L41" s="38">
        <f t="shared" si="6"/>
        <v>0.75735823958333326</v>
      </c>
      <c r="M41" s="17">
        <f t="shared" si="7"/>
        <v>-1.3720749999999988</v>
      </c>
      <c r="N41" s="18">
        <f t="shared" si="8"/>
        <v>0.11433958333333327</v>
      </c>
    </row>
    <row r="42" spans="1:14" ht="15.75" customHeight="1" x14ac:dyDescent="0.25">
      <c r="A42" s="13">
        <v>12.5</v>
      </c>
      <c r="B42" s="13">
        <f>IF(A42&lt;5,0.99,'tax and shipping settings'!$B$2)</f>
        <v>1.27</v>
      </c>
      <c r="C42" s="11">
        <f>(A42+B42)*'tax and shipping settings'!$B$1</f>
        <v>1.1497950000000001</v>
      </c>
      <c r="D42" s="13">
        <f t="shared" si="0"/>
        <v>1.4114249999999999</v>
      </c>
      <c r="E42" s="13">
        <f t="shared" si="1"/>
        <v>0.6729948750000001</v>
      </c>
      <c r="F42" s="11">
        <v>0.79</v>
      </c>
      <c r="G42" s="14">
        <f t="shared" si="2"/>
        <v>10.895580124999999</v>
      </c>
      <c r="H42" s="13">
        <f t="shared" si="9"/>
        <v>1.7599948749999998</v>
      </c>
      <c r="I42" s="11">
        <v>1.21</v>
      </c>
      <c r="J42" s="14">
        <f t="shared" si="4"/>
        <v>9.5300051249999989</v>
      </c>
      <c r="K42" s="18">
        <f t="shared" si="5"/>
        <v>0.87164640999999987</v>
      </c>
      <c r="L42" s="38">
        <f t="shared" si="6"/>
        <v>0.76240040999999992</v>
      </c>
      <c r="M42" s="17">
        <f t="shared" si="7"/>
        <v>-1.3655749999999998</v>
      </c>
      <c r="N42" s="18">
        <f t="shared" si="8"/>
        <v>0.10924599999999995</v>
      </c>
    </row>
    <row r="43" spans="1:14" ht="15.75" customHeight="1" x14ac:dyDescent="0.25">
      <c r="A43" s="13">
        <v>13</v>
      </c>
      <c r="B43" s="13">
        <f>IF(A43&lt;5,0.99,'tax and shipping settings'!$B$2)</f>
        <v>1.27</v>
      </c>
      <c r="C43" s="11">
        <f>(A43+B43)*'tax and shipping settings'!$B$1</f>
        <v>1.1915450000000001</v>
      </c>
      <c r="D43" s="13">
        <f t="shared" si="0"/>
        <v>1.4626749999999999</v>
      </c>
      <c r="E43" s="13">
        <f t="shared" si="1"/>
        <v>0.68653862500000007</v>
      </c>
      <c r="F43" s="11">
        <v>0.79</v>
      </c>
      <c r="G43" s="14">
        <f t="shared" si="2"/>
        <v>11.330786374999999</v>
      </c>
      <c r="H43" s="13">
        <f t="shared" si="9"/>
        <v>1.8182886250000001</v>
      </c>
      <c r="I43" s="11">
        <v>1.21</v>
      </c>
      <c r="J43" s="14">
        <f t="shared" si="4"/>
        <v>9.9717113749999982</v>
      </c>
      <c r="K43" s="18">
        <f t="shared" si="5"/>
        <v>0.87159895192307679</v>
      </c>
      <c r="L43" s="38">
        <f t="shared" si="6"/>
        <v>0.76705472115384599</v>
      </c>
      <c r="M43" s="17">
        <f t="shared" si="7"/>
        <v>-1.3590750000000007</v>
      </c>
      <c r="N43" s="18">
        <f t="shared" si="8"/>
        <v>0.10454423076923081</v>
      </c>
    </row>
    <row r="44" spans="1:14" ht="15.75" customHeight="1" x14ac:dyDescent="0.25">
      <c r="A44" s="13">
        <v>13.5</v>
      </c>
      <c r="B44" s="13">
        <f>IF(A44&lt;5,0.99,'tax and shipping settings'!$B$2)</f>
        <v>1.27</v>
      </c>
      <c r="C44" s="11">
        <f>(A44+B44)*'tax and shipping settings'!$B$1</f>
        <v>1.233295</v>
      </c>
      <c r="D44" s="13">
        <f t="shared" si="0"/>
        <v>1.513925</v>
      </c>
      <c r="E44" s="13">
        <f t="shared" si="1"/>
        <v>0.70008237500000003</v>
      </c>
      <c r="F44" s="11">
        <v>0.79</v>
      </c>
      <c r="G44" s="14">
        <f t="shared" si="2"/>
        <v>11.765992624999999</v>
      </c>
      <c r="H44" s="13">
        <f t="shared" si="9"/>
        <v>1.8765823750000001</v>
      </c>
      <c r="I44" s="11">
        <v>1.21</v>
      </c>
      <c r="J44" s="14">
        <f t="shared" si="4"/>
        <v>10.413417625000001</v>
      </c>
      <c r="K44" s="18">
        <f t="shared" si="5"/>
        <v>0.87155500925925922</v>
      </c>
      <c r="L44" s="38">
        <f t="shared" si="6"/>
        <v>0.77136426851851858</v>
      </c>
      <c r="M44" s="17">
        <f t="shared" si="7"/>
        <v>-1.3525749999999981</v>
      </c>
      <c r="N44" s="18">
        <f t="shared" si="8"/>
        <v>0.10019074074074064</v>
      </c>
    </row>
    <row r="45" spans="1:14" ht="15.75" customHeight="1" x14ac:dyDescent="0.25">
      <c r="A45" s="13">
        <v>14</v>
      </c>
      <c r="B45" s="13">
        <f>IF(A45&lt;5,0.99,'tax and shipping settings'!$B$2)</f>
        <v>1.27</v>
      </c>
      <c r="C45" s="11">
        <f>(A45+B45)*'tax and shipping settings'!$B$1</f>
        <v>1.275045</v>
      </c>
      <c r="D45" s="13">
        <f t="shared" si="0"/>
        <v>1.5651749999999998</v>
      </c>
      <c r="E45" s="13">
        <f t="shared" si="1"/>
        <v>0.713626125</v>
      </c>
      <c r="F45" s="11">
        <v>0.79</v>
      </c>
      <c r="G45" s="14">
        <f t="shared" si="2"/>
        <v>12.201198874999999</v>
      </c>
      <c r="H45" s="13">
        <f t="shared" si="9"/>
        <v>1.9348761249999999</v>
      </c>
      <c r="I45" s="11">
        <v>1.21</v>
      </c>
      <c r="J45" s="14">
        <f t="shared" si="4"/>
        <v>10.855123875</v>
      </c>
      <c r="K45" s="18">
        <f t="shared" si="5"/>
        <v>0.87151420535714286</v>
      </c>
      <c r="L45" s="40">
        <f t="shared" si="6"/>
        <v>0.77536599107142856</v>
      </c>
      <c r="M45" s="17">
        <f t="shared" si="7"/>
        <v>-1.346074999999999</v>
      </c>
      <c r="N45" s="18">
        <f t="shared" si="8"/>
        <v>9.6148214285714295E-2</v>
      </c>
    </row>
    <row r="46" spans="1:14" ht="15.75" customHeight="1" x14ac:dyDescent="0.25">
      <c r="A46" s="13">
        <v>14.5</v>
      </c>
      <c r="B46" s="13">
        <f>IF(A46&lt;5,0.99,'tax and shipping settings'!$B$2)</f>
        <v>1.27</v>
      </c>
      <c r="C46" s="11">
        <f>(A46+B46)*'tax and shipping settings'!$B$1</f>
        <v>1.3167949999999999</v>
      </c>
      <c r="D46" s="13">
        <f t="shared" si="0"/>
        <v>1.6164249999999998</v>
      </c>
      <c r="E46" s="13">
        <f t="shared" si="1"/>
        <v>0.72716987499999997</v>
      </c>
      <c r="F46" s="11">
        <v>0.79</v>
      </c>
      <c r="G46" s="14">
        <f t="shared" si="2"/>
        <v>12.636405125</v>
      </c>
      <c r="H46" s="13">
        <f t="shared" si="9"/>
        <v>1.993169875</v>
      </c>
      <c r="I46" s="11">
        <v>1.21</v>
      </c>
      <c r="J46" s="14">
        <f t="shared" si="4"/>
        <v>11.296830125</v>
      </c>
      <c r="K46" s="18">
        <f t="shared" si="5"/>
        <v>0.8714762155172413</v>
      </c>
      <c r="L46" s="40">
        <f t="shared" si="6"/>
        <v>0.77909173275862065</v>
      </c>
      <c r="M46" s="17">
        <f t="shared" si="7"/>
        <v>-1.339575</v>
      </c>
      <c r="N46" s="18">
        <f t="shared" si="8"/>
        <v>9.2384482758620656E-2</v>
      </c>
    </row>
    <row r="47" spans="1:14" ht="15.75" customHeight="1" x14ac:dyDescent="0.25">
      <c r="A47" s="13">
        <v>15</v>
      </c>
      <c r="B47" s="13">
        <f>IF(A47&lt;5,0.99,'tax and shipping settings'!$B$2)</f>
        <v>1.27</v>
      </c>
      <c r="C47" s="11">
        <f>(A47+B47)*'tax and shipping settings'!$B$1</f>
        <v>1.3585450000000001</v>
      </c>
      <c r="D47" s="13">
        <f t="shared" si="0"/>
        <v>1.6676749999999998</v>
      </c>
      <c r="E47" s="13">
        <f t="shared" si="1"/>
        <v>0.74071362499999993</v>
      </c>
      <c r="F47" s="11">
        <v>0.79</v>
      </c>
      <c r="G47" s="14">
        <f t="shared" si="2"/>
        <v>13.071611375</v>
      </c>
      <c r="H47" s="13">
        <f t="shared" si="9"/>
        <v>2.0514636250000002</v>
      </c>
      <c r="I47" s="11">
        <v>1.21</v>
      </c>
      <c r="J47" s="14">
        <f t="shared" si="4"/>
        <v>11.738536374999999</v>
      </c>
      <c r="K47" s="18">
        <f t="shared" si="5"/>
        <v>0.87144075833333334</v>
      </c>
      <c r="L47" s="18">
        <f t="shared" si="6"/>
        <v>0.78256909166666655</v>
      </c>
      <c r="M47" s="17">
        <f t="shared" si="7"/>
        <v>-1.3330750000000009</v>
      </c>
      <c r="N47" s="18">
        <f t="shared" si="8"/>
        <v>8.8871666666666793E-2</v>
      </c>
    </row>
    <row r="48" spans="1:14" ht="15.75" customHeight="1" x14ac:dyDescent="0.25">
      <c r="A48" s="13">
        <v>15.5</v>
      </c>
      <c r="B48" s="13">
        <f>IF(A48&lt;5,0.99,'tax and shipping settings'!$B$2)</f>
        <v>1.27</v>
      </c>
      <c r="C48" s="11">
        <f>(A48+B48)*'tax and shipping settings'!$B$1</f>
        <v>1.4002950000000001</v>
      </c>
      <c r="D48" s="13">
        <f t="shared" si="0"/>
        <v>1.7189249999999998</v>
      </c>
      <c r="E48" s="13">
        <f t="shared" si="1"/>
        <v>0.75425737500000001</v>
      </c>
      <c r="F48" s="11">
        <v>0.79</v>
      </c>
      <c r="G48" s="14">
        <f t="shared" si="2"/>
        <v>13.506817625</v>
      </c>
      <c r="H48" s="13">
        <f t="shared" si="9"/>
        <v>2.109757375</v>
      </c>
      <c r="I48" s="11">
        <v>1.21</v>
      </c>
      <c r="J48" s="14">
        <f t="shared" si="4"/>
        <v>12.180242624999998</v>
      </c>
      <c r="K48" s="18">
        <f t="shared" si="5"/>
        <v>0.87140758870967738</v>
      </c>
      <c r="L48" s="18">
        <f t="shared" si="6"/>
        <v>0.78582210483870951</v>
      </c>
      <c r="M48" s="17">
        <f t="shared" si="7"/>
        <v>-1.3265750000000018</v>
      </c>
      <c r="N48" s="18">
        <f t="shared" si="8"/>
        <v>8.5585483870967871E-2</v>
      </c>
    </row>
    <row r="49" spans="1:15" ht="15.75" customHeight="1" x14ac:dyDescent="0.25">
      <c r="A49" s="13">
        <v>16</v>
      </c>
      <c r="B49" s="13">
        <f>IF(A49&lt;5,0.99,'tax and shipping settings'!$B$2)</f>
        <v>1.27</v>
      </c>
      <c r="C49" s="11">
        <f>(A49+B49)*'tax and shipping settings'!$B$1</f>
        <v>1.442045</v>
      </c>
      <c r="D49" s="13">
        <f t="shared" si="0"/>
        <v>1.7701749999999998</v>
      </c>
      <c r="E49" s="13">
        <f t="shared" si="1"/>
        <v>0.76780112500000008</v>
      </c>
      <c r="F49" s="11">
        <v>0.79</v>
      </c>
      <c r="G49" s="14">
        <f t="shared" si="2"/>
        <v>13.942023875</v>
      </c>
      <c r="H49" s="13">
        <f t="shared" si="9"/>
        <v>2.1680511249999999</v>
      </c>
      <c r="I49" s="11">
        <v>1.21</v>
      </c>
      <c r="J49" s="14">
        <f t="shared" si="4"/>
        <v>12.621948875000001</v>
      </c>
      <c r="K49" s="18">
        <f t="shared" si="5"/>
        <v>0.87137649218750002</v>
      </c>
      <c r="L49" s="18">
        <f t="shared" si="6"/>
        <v>0.78887180468750007</v>
      </c>
      <c r="M49" s="17">
        <f t="shared" si="7"/>
        <v>-1.3200749999999992</v>
      </c>
      <c r="N49" s="18">
        <f t="shared" si="8"/>
        <v>8.2504687499999951E-2</v>
      </c>
    </row>
    <row r="50" spans="1:15" ht="15.75" customHeight="1" x14ac:dyDescent="0.25">
      <c r="A50" s="13">
        <v>16.5</v>
      </c>
      <c r="B50" s="13">
        <f>IF(A50&lt;5,0.99,'tax and shipping settings'!$B$2)</f>
        <v>1.27</v>
      </c>
      <c r="C50" s="11">
        <f>(A50+B50)*'tax and shipping settings'!$B$1</f>
        <v>1.483795</v>
      </c>
      <c r="D50" s="13">
        <f t="shared" si="0"/>
        <v>1.8214249999999998</v>
      </c>
      <c r="E50" s="13">
        <f t="shared" si="1"/>
        <v>0.78134487500000005</v>
      </c>
      <c r="F50" s="11">
        <v>0.79</v>
      </c>
      <c r="G50" s="14">
        <f t="shared" si="2"/>
        <v>14.377230125000001</v>
      </c>
      <c r="H50" s="13">
        <f t="shared" si="9"/>
        <v>2.2263448750000001</v>
      </c>
      <c r="I50" s="11">
        <v>1.21</v>
      </c>
      <c r="J50" s="14">
        <f t="shared" si="4"/>
        <v>13.063655125</v>
      </c>
      <c r="K50" s="18">
        <f t="shared" si="5"/>
        <v>0.87134728030303032</v>
      </c>
      <c r="L50" s="18">
        <f t="shared" si="6"/>
        <v>0.79173667424242422</v>
      </c>
      <c r="M50" s="17">
        <f t="shared" si="7"/>
        <v>-1.3135750000000002</v>
      </c>
      <c r="N50" s="18">
        <f t="shared" si="8"/>
        <v>7.9610606060606104E-2</v>
      </c>
    </row>
    <row r="51" spans="1:15" ht="15.75" customHeight="1" x14ac:dyDescent="0.25">
      <c r="A51" s="13">
        <v>17</v>
      </c>
      <c r="B51" s="13">
        <f>IF(A51&lt;5,0.99,'tax and shipping settings'!$B$2)</f>
        <v>1.27</v>
      </c>
      <c r="C51" s="11">
        <f>(A51+B51)*'tax and shipping settings'!$B$1</f>
        <v>1.5255450000000002</v>
      </c>
      <c r="D51" s="13">
        <f t="shared" si="0"/>
        <v>1.8726749999999999</v>
      </c>
      <c r="E51" s="13">
        <f t="shared" si="1"/>
        <v>0.79488862500000002</v>
      </c>
      <c r="F51" s="11">
        <v>0.79</v>
      </c>
      <c r="G51" s="14">
        <f t="shared" si="2"/>
        <v>14.812436374999997</v>
      </c>
      <c r="H51" s="13">
        <f t="shared" si="9"/>
        <v>2.2846386249999999</v>
      </c>
      <c r="I51" s="11">
        <v>1.21</v>
      </c>
      <c r="J51" s="14">
        <f t="shared" si="4"/>
        <v>13.505361375</v>
      </c>
      <c r="K51" s="18">
        <f t="shared" si="5"/>
        <v>0.87131978676470567</v>
      </c>
      <c r="L51" s="18">
        <f t="shared" si="6"/>
        <v>0.79443302205882349</v>
      </c>
      <c r="M51" s="17">
        <f t="shared" si="7"/>
        <v>-1.3070749999999975</v>
      </c>
      <c r="N51" s="18">
        <f t="shared" si="8"/>
        <v>7.6886764705882182E-2</v>
      </c>
    </row>
    <row r="52" spans="1:15" ht="15.75" customHeight="1" x14ac:dyDescent="0.25">
      <c r="A52" s="13">
        <v>17.5</v>
      </c>
      <c r="B52" s="13">
        <f>IF(A52&lt;5,0.99,'tax and shipping settings'!$B$2)</f>
        <v>1.27</v>
      </c>
      <c r="C52" s="11">
        <f>(A52+B52)*'tax and shipping settings'!$B$1</f>
        <v>1.5672950000000001</v>
      </c>
      <c r="D52" s="13">
        <f t="shared" si="0"/>
        <v>1.9239249999999999</v>
      </c>
      <c r="E52" s="13">
        <f t="shared" si="1"/>
        <v>0.80843237499999998</v>
      </c>
      <c r="F52" s="11">
        <v>0.79</v>
      </c>
      <c r="G52" s="14">
        <f t="shared" si="2"/>
        <v>15.247642625000001</v>
      </c>
      <c r="H52" s="13">
        <f t="shared" si="9"/>
        <v>2.3429323750000002</v>
      </c>
      <c r="I52" s="11">
        <v>1.21</v>
      </c>
      <c r="J52" s="14">
        <f t="shared" si="4"/>
        <v>13.947067624999999</v>
      </c>
      <c r="K52" s="18">
        <f t="shared" si="5"/>
        <v>0.87129386428571431</v>
      </c>
      <c r="L52" s="18">
        <f t="shared" si="6"/>
        <v>0.79697529285714275</v>
      </c>
      <c r="M52" s="17">
        <f t="shared" si="7"/>
        <v>-1.300575000000002</v>
      </c>
      <c r="N52" s="18">
        <f t="shared" si="8"/>
        <v>7.4318571428571567E-2</v>
      </c>
    </row>
    <row r="53" spans="1:15" ht="15.75" customHeight="1" x14ac:dyDescent="0.25">
      <c r="A53" s="13">
        <v>18</v>
      </c>
      <c r="B53" s="13">
        <f>IF(A53&lt;5,0.99,'tax and shipping settings'!$B$2)</f>
        <v>1.27</v>
      </c>
      <c r="C53" s="11">
        <f>(A53+B53)*'tax and shipping settings'!$B$1</f>
        <v>1.6090450000000001</v>
      </c>
      <c r="D53" s="13">
        <f t="shared" si="0"/>
        <v>1.9751749999999999</v>
      </c>
      <c r="E53" s="13">
        <f t="shared" si="1"/>
        <v>0.82197612499999995</v>
      </c>
      <c r="F53" s="11">
        <v>0.79</v>
      </c>
      <c r="G53" s="14">
        <f t="shared" si="2"/>
        <v>15.682848875000001</v>
      </c>
      <c r="H53" s="13">
        <f t="shared" si="9"/>
        <v>2.401226125</v>
      </c>
      <c r="I53" s="11">
        <v>1.21</v>
      </c>
      <c r="J53" s="14">
        <f t="shared" si="4"/>
        <v>14.388773874999998</v>
      </c>
      <c r="K53" s="18">
        <f t="shared" si="5"/>
        <v>0.87126938194444448</v>
      </c>
      <c r="L53" s="18">
        <f t="shared" si="6"/>
        <v>0.79937632638888878</v>
      </c>
      <c r="M53" s="17">
        <f t="shared" si="7"/>
        <v>-1.294075000000003</v>
      </c>
      <c r="N53" s="18">
        <f t="shared" si="8"/>
        <v>7.1893055555555696E-2</v>
      </c>
    </row>
    <row r="54" spans="1:15" ht="15.75" customHeight="1" x14ac:dyDescent="0.25">
      <c r="A54" s="13">
        <v>18.5</v>
      </c>
      <c r="B54" s="13">
        <f>IF(A54&lt;5,0.99,'tax and shipping settings'!$B$2)</f>
        <v>1.27</v>
      </c>
      <c r="C54" s="11">
        <f>(A54+B54)*'tax and shipping settings'!$B$1</f>
        <v>1.650795</v>
      </c>
      <c r="D54" s="13">
        <f t="shared" si="0"/>
        <v>2.0264249999999997</v>
      </c>
      <c r="E54" s="13">
        <f t="shared" si="1"/>
        <v>0.83551987499999991</v>
      </c>
      <c r="F54" s="11">
        <v>0.79</v>
      </c>
      <c r="G54" s="14">
        <f t="shared" si="2"/>
        <v>16.118055125000001</v>
      </c>
      <c r="H54" s="13">
        <f t="shared" si="9"/>
        <v>2.4595198749999998</v>
      </c>
      <c r="I54" s="11">
        <v>1.21</v>
      </c>
      <c r="J54" s="14">
        <f t="shared" si="4"/>
        <v>14.830480125000001</v>
      </c>
      <c r="K54" s="18">
        <f t="shared" si="5"/>
        <v>0.87124622297297305</v>
      </c>
      <c r="L54" s="18">
        <f t="shared" si="6"/>
        <v>0.80164757432432443</v>
      </c>
      <c r="M54" s="17">
        <f t="shared" si="7"/>
        <v>-1.2875750000000004</v>
      </c>
      <c r="N54" s="18">
        <f t="shared" si="8"/>
        <v>6.959864864864862E-2</v>
      </c>
    </row>
    <row r="55" spans="1:15" ht="15.75" customHeight="1" x14ac:dyDescent="0.25">
      <c r="A55" s="13">
        <v>19</v>
      </c>
      <c r="B55" s="13">
        <f>IF(A55&lt;5,0.99,'tax and shipping settings'!$B$2)</f>
        <v>1.27</v>
      </c>
      <c r="C55" s="11">
        <f>(A55+B55)*'tax and shipping settings'!$B$1</f>
        <v>1.692545</v>
      </c>
      <c r="D55" s="13">
        <f t="shared" si="0"/>
        <v>2.0776749999999997</v>
      </c>
      <c r="E55" s="13">
        <f t="shared" si="1"/>
        <v>0.84906362499999988</v>
      </c>
      <c r="F55" s="11">
        <v>0.79</v>
      </c>
      <c r="G55" s="14">
        <f t="shared" si="2"/>
        <v>16.553261375000002</v>
      </c>
      <c r="H55" s="13">
        <f t="shared" si="9"/>
        <v>2.5178136249999996</v>
      </c>
      <c r="I55" s="11">
        <v>1.21</v>
      </c>
      <c r="J55" s="14">
        <f t="shared" si="4"/>
        <v>15.272186375</v>
      </c>
      <c r="K55" s="18">
        <f t="shared" si="5"/>
        <v>0.87122428289473697</v>
      </c>
      <c r="L55" s="18">
        <f t="shared" si="6"/>
        <v>0.8037992828947369</v>
      </c>
      <c r="M55" s="17">
        <f t="shared" si="7"/>
        <v>-1.2810750000000013</v>
      </c>
      <c r="N55" s="18">
        <f t="shared" si="8"/>
        <v>6.7425000000000068E-2</v>
      </c>
    </row>
    <row r="56" spans="1:15" ht="15.75" customHeight="1" x14ac:dyDescent="0.25">
      <c r="A56" s="13">
        <v>19.5</v>
      </c>
      <c r="B56" s="13">
        <f>IF(A56&lt;5,0.99,'tax and shipping settings'!$B$2)</f>
        <v>1.27</v>
      </c>
      <c r="C56" s="11">
        <f>(A56+B56)*'tax and shipping settings'!$B$1</f>
        <v>1.7342950000000001</v>
      </c>
      <c r="D56" s="13">
        <f t="shared" si="0"/>
        <v>2.1289249999999997</v>
      </c>
      <c r="E56" s="13">
        <f t="shared" si="1"/>
        <v>0.86260737500000007</v>
      </c>
      <c r="F56" s="11">
        <v>0.79</v>
      </c>
      <c r="G56" s="14">
        <f t="shared" si="2"/>
        <v>16.988467625000002</v>
      </c>
      <c r="H56" s="13">
        <f t="shared" si="9"/>
        <v>2.5761073749999999</v>
      </c>
      <c r="I56" s="11">
        <v>1.21</v>
      </c>
      <c r="J56" s="14">
        <f t="shared" si="4"/>
        <v>15.713892625</v>
      </c>
      <c r="K56" s="18">
        <f t="shared" si="5"/>
        <v>0.87120346794871806</v>
      </c>
      <c r="L56" s="18">
        <f t="shared" si="6"/>
        <v>0.80584064743589745</v>
      </c>
      <c r="M56" s="17">
        <f t="shared" si="7"/>
        <v>-1.2745750000000022</v>
      </c>
      <c r="N56" s="18">
        <f t="shared" si="8"/>
        <v>6.5362820512820607E-2</v>
      </c>
    </row>
    <row r="57" spans="1:15" ht="15.75" customHeight="1" x14ac:dyDescent="0.25">
      <c r="A57" s="23">
        <v>19.989999999999998</v>
      </c>
      <c r="B57" s="13">
        <f>IF(A57&lt;5,0.99,'tax and shipping settings'!$B$2)</f>
        <v>1.27</v>
      </c>
      <c r="C57" s="11">
        <f>(A57+B57)*'tax and shipping settings'!$B$1</f>
        <v>1.77521</v>
      </c>
      <c r="D57" s="13">
        <f t="shared" si="0"/>
        <v>2.1791499999999995</v>
      </c>
      <c r="E57" s="13">
        <f t="shared" si="1"/>
        <v>0.87588025000000003</v>
      </c>
      <c r="F57" s="11">
        <v>0.79</v>
      </c>
      <c r="G57" s="14">
        <f t="shared" si="2"/>
        <v>17.414969749999997</v>
      </c>
      <c r="H57" s="23">
        <f t="shared" si="9"/>
        <v>2.6332352499999998</v>
      </c>
      <c r="I57" s="22">
        <v>1.21</v>
      </c>
      <c r="J57" s="23">
        <f t="shared" si="4"/>
        <v>16.146764749999999</v>
      </c>
      <c r="K57" s="41">
        <f t="shared" si="5"/>
        <v>0.87118407953976984</v>
      </c>
      <c r="L57" s="41">
        <f t="shared" si="6"/>
        <v>0.80774210855427719</v>
      </c>
      <c r="M57" s="25">
        <f t="shared" si="7"/>
        <v>-1.2682049999999983</v>
      </c>
      <c r="N57" s="41">
        <f t="shared" si="8"/>
        <v>6.3441970985492646E-2</v>
      </c>
      <c r="O57" s="42"/>
    </row>
    <row r="58" spans="1:15" ht="15.75" customHeight="1" x14ac:dyDescent="0.25">
      <c r="A58" s="13"/>
      <c r="B58" s="13"/>
      <c r="C58" s="11"/>
      <c r="D58" s="13"/>
      <c r="E58" s="13"/>
      <c r="F58" s="11"/>
      <c r="G58" s="14"/>
      <c r="H58" s="13"/>
      <c r="I58" s="11"/>
      <c r="J58" s="14"/>
      <c r="K58" s="18"/>
      <c r="L58" s="18"/>
      <c r="M58" s="17"/>
      <c r="N58" s="18"/>
    </row>
    <row r="59" spans="1:15" ht="15.75" customHeight="1" x14ac:dyDescent="0.25">
      <c r="A59" s="43">
        <v>20</v>
      </c>
      <c r="B59" s="13">
        <f>IF(A59&lt;5,0.99,'tax and shipping settings'!$B$2)</f>
        <v>1.27</v>
      </c>
      <c r="C59" s="11">
        <f>(A59+B59)*'tax and shipping settings'!$B$1</f>
        <v>1.7760450000000001</v>
      </c>
      <c r="D59" s="13">
        <f t="shared" ref="D59:D88" si="10">MIN(50,(A59+B59)*0.1025)</f>
        <v>2.1801749999999998</v>
      </c>
      <c r="E59" s="13">
        <f t="shared" ref="E59:E88" si="11">(A59+B59+C59)*0.025+0.3</f>
        <v>0.87615112500000003</v>
      </c>
      <c r="F59" s="11">
        <v>0.79</v>
      </c>
      <c r="G59" s="14">
        <f t="shared" ref="G59:G88" si="12">A59+B59-D59-E59-F59</f>
        <v>17.423673875000002</v>
      </c>
      <c r="H59" s="31">
        <f t="shared" ref="H59:H88" si="13">0.3 + (A59+C59)*(0.025) + A59*(0.0895)</f>
        <v>2.6344011250000001</v>
      </c>
      <c r="I59" s="44">
        <v>4.62</v>
      </c>
      <c r="J59" s="33">
        <f t="shared" ref="J59:J88" si="14">A59-H59-I59</f>
        <v>12.745598874999999</v>
      </c>
      <c r="K59" s="18">
        <f t="shared" ref="K59:K88" si="15">G59/A59</f>
        <v>0.87118369375000015</v>
      </c>
      <c r="L59" s="45">
        <f t="shared" ref="L59:L88" si="16">J59/A59</f>
        <v>0.63727994374999997</v>
      </c>
      <c r="M59" s="17">
        <f t="shared" ref="M59:M88" si="17">J59-G59</f>
        <v>-4.6780750000000033</v>
      </c>
      <c r="N59" s="18">
        <f t="shared" ref="N59:N88" si="18">(K59-L59)</f>
        <v>0.23390375000000019</v>
      </c>
    </row>
    <row r="60" spans="1:15" ht="15.75" customHeight="1" x14ac:dyDescent="0.25">
      <c r="A60" s="46">
        <v>20.5</v>
      </c>
      <c r="B60" s="13">
        <f>IF(A60&lt;5,0.99,'tax and shipping settings'!$B$2)</f>
        <v>1.27</v>
      </c>
      <c r="C60" s="11">
        <f>(A60+B60)*'tax and shipping settings'!$B$1</f>
        <v>1.817795</v>
      </c>
      <c r="D60" s="13">
        <f t="shared" si="10"/>
        <v>2.2314249999999998</v>
      </c>
      <c r="E60" s="13">
        <f t="shared" si="11"/>
        <v>0.889694875</v>
      </c>
      <c r="F60" s="11">
        <v>0.79</v>
      </c>
      <c r="G60" s="14">
        <f t="shared" si="12"/>
        <v>17.858880125000002</v>
      </c>
      <c r="H60" s="31">
        <f t="shared" si="13"/>
        <v>2.6926948749999999</v>
      </c>
      <c r="I60" s="47">
        <v>4.62</v>
      </c>
      <c r="J60" s="33">
        <f t="shared" si="14"/>
        <v>13.187305124999998</v>
      </c>
      <c r="K60" s="18">
        <f t="shared" si="15"/>
        <v>0.87116488414634163</v>
      </c>
      <c r="L60" s="16">
        <f t="shared" si="16"/>
        <v>0.64328317682926817</v>
      </c>
      <c r="M60" s="17">
        <f t="shared" si="17"/>
        <v>-4.6715750000000043</v>
      </c>
      <c r="N60" s="18">
        <f t="shared" si="18"/>
        <v>0.22788170731707347</v>
      </c>
    </row>
    <row r="61" spans="1:15" ht="15.75" customHeight="1" x14ac:dyDescent="0.25">
      <c r="A61" s="48">
        <v>21</v>
      </c>
      <c r="B61" s="13">
        <f>IF(A61&lt;5,0.99,'tax and shipping settings'!$B$2)</f>
        <v>1.27</v>
      </c>
      <c r="C61" s="11">
        <f>(A61+B61)*'tax and shipping settings'!$B$1</f>
        <v>1.859545</v>
      </c>
      <c r="D61" s="13">
        <f t="shared" si="10"/>
        <v>2.2826749999999998</v>
      </c>
      <c r="E61" s="13">
        <f t="shared" si="11"/>
        <v>0.90323862499999996</v>
      </c>
      <c r="F61" s="11">
        <v>0.79</v>
      </c>
      <c r="G61" s="14">
        <f t="shared" si="12"/>
        <v>18.294086374999999</v>
      </c>
      <c r="H61" s="31">
        <f t="shared" si="13"/>
        <v>2.7509886249999997</v>
      </c>
      <c r="I61" s="47">
        <v>4.62</v>
      </c>
      <c r="J61" s="33">
        <f t="shared" si="14"/>
        <v>13.629011375000001</v>
      </c>
      <c r="K61" s="18">
        <f t="shared" si="15"/>
        <v>0.87114697023809518</v>
      </c>
      <c r="L61" s="16">
        <f t="shared" si="16"/>
        <v>0.64900054166666676</v>
      </c>
      <c r="M61" s="17">
        <f t="shared" si="17"/>
        <v>-4.6650749999999981</v>
      </c>
      <c r="N61" s="18">
        <f t="shared" si="18"/>
        <v>0.22214642857142841</v>
      </c>
    </row>
    <row r="62" spans="1:15" ht="15.75" customHeight="1" x14ac:dyDescent="0.25">
      <c r="A62" s="46">
        <v>21.5</v>
      </c>
      <c r="B62" s="13">
        <f>IF(A62&lt;5,0.99,'tax and shipping settings'!$B$2)</f>
        <v>1.27</v>
      </c>
      <c r="C62" s="11">
        <f>(A62+B62)*'tax and shipping settings'!$B$1</f>
        <v>1.9012950000000002</v>
      </c>
      <c r="D62" s="13">
        <f t="shared" si="10"/>
        <v>2.3339249999999998</v>
      </c>
      <c r="E62" s="13">
        <f t="shared" si="11"/>
        <v>0.91678237500000015</v>
      </c>
      <c r="F62" s="11">
        <v>0.79</v>
      </c>
      <c r="G62" s="14">
        <f t="shared" si="12"/>
        <v>18.729292624999999</v>
      </c>
      <c r="H62" s="31">
        <f t="shared" si="13"/>
        <v>2.809282375</v>
      </c>
      <c r="I62" s="47">
        <v>4.62</v>
      </c>
      <c r="J62" s="33">
        <f t="shared" si="14"/>
        <v>14.070717625</v>
      </c>
      <c r="K62" s="18">
        <f t="shared" si="15"/>
        <v>0.87112988953488368</v>
      </c>
      <c r="L62" s="16">
        <f t="shared" si="16"/>
        <v>0.65445198255813952</v>
      </c>
      <c r="M62" s="17">
        <f t="shared" si="17"/>
        <v>-4.658574999999999</v>
      </c>
      <c r="N62" s="18">
        <f t="shared" si="18"/>
        <v>0.21667790697674416</v>
      </c>
    </row>
    <row r="63" spans="1:15" ht="15.75" customHeight="1" x14ac:dyDescent="0.25">
      <c r="A63" s="48">
        <v>22</v>
      </c>
      <c r="B63" s="13">
        <f>IF(A63&lt;5,0.99,'tax and shipping settings'!$B$2)</f>
        <v>1.27</v>
      </c>
      <c r="C63" s="11">
        <f>(A63+B63)*'tax and shipping settings'!$B$1</f>
        <v>1.9430450000000001</v>
      </c>
      <c r="D63" s="13">
        <f t="shared" si="10"/>
        <v>2.3851749999999998</v>
      </c>
      <c r="E63" s="13">
        <f t="shared" si="11"/>
        <v>0.93032612500000011</v>
      </c>
      <c r="F63" s="11">
        <v>0.79</v>
      </c>
      <c r="G63" s="14">
        <f t="shared" si="12"/>
        <v>19.164498875</v>
      </c>
      <c r="H63" s="31">
        <f t="shared" si="13"/>
        <v>2.8675761249999998</v>
      </c>
      <c r="I63" s="47">
        <v>4.62</v>
      </c>
      <c r="J63" s="33">
        <f t="shared" si="14"/>
        <v>14.512423875</v>
      </c>
      <c r="K63" s="18">
        <f t="shared" si="15"/>
        <v>0.87111358522727267</v>
      </c>
      <c r="L63" s="16">
        <f t="shared" si="16"/>
        <v>0.65965563068181821</v>
      </c>
      <c r="M63" s="17">
        <f t="shared" si="17"/>
        <v>-4.652075</v>
      </c>
      <c r="N63" s="18">
        <f t="shared" si="18"/>
        <v>0.21145795454545446</v>
      </c>
    </row>
    <row r="64" spans="1:15" ht="15.75" customHeight="1" x14ac:dyDescent="0.25">
      <c r="A64" s="47">
        <v>22.5</v>
      </c>
      <c r="B64" s="13">
        <f>IF(A64&lt;5,0.99,'tax and shipping settings'!$B$2)</f>
        <v>1.27</v>
      </c>
      <c r="C64" s="11">
        <f>(A64+B64)*'tax and shipping settings'!$B$1</f>
        <v>1.9847950000000001</v>
      </c>
      <c r="D64" s="13">
        <f t="shared" si="10"/>
        <v>2.4364249999999998</v>
      </c>
      <c r="E64" s="13">
        <f t="shared" si="11"/>
        <v>0.94386987500000008</v>
      </c>
      <c r="F64" s="11">
        <v>0.79</v>
      </c>
      <c r="G64" s="14">
        <f t="shared" si="12"/>
        <v>19.599705125</v>
      </c>
      <c r="H64" s="31">
        <f t="shared" si="13"/>
        <v>2.9258698750000001</v>
      </c>
      <c r="I64" s="47">
        <v>4.62</v>
      </c>
      <c r="J64" s="33">
        <f t="shared" si="14"/>
        <v>14.954130124999999</v>
      </c>
      <c r="K64" s="18">
        <f t="shared" si="15"/>
        <v>0.8710980055555555</v>
      </c>
      <c r="L64" s="16">
        <f t="shared" si="16"/>
        <v>0.66462800555555546</v>
      </c>
      <c r="M64" s="17">
        <f t="shared" si="17"/>
        <v>-4.6455750000000009</v>
      </c>
      <c r="N64" s="18">
        <f t="shared" si="18"/>
        <v>0.20647000000000004</v>
      </c>
      <c r="O64" s="27"/>
    </row>
    <row r="65" spans="1:15" ht="15.75" customHeight="1" x14ac:dyDescent="0.25">
      <c r="A65" s="47">
        <v>23</v>
      </c>
      <c r="B65" s="13">
        <f>IF(A65&lt;5,0.99,'tax and shipping settings'!$B$2)</f>
        <v>1.27</v>
      </c>
      <c r="C65" s="11">
        <f>(A65+B65)*'tax and shipping settings'!$B$1</f>
        <v>2.026545</v>
      </c>
      <c r="D65" s="13">
        <f t="shared" si="10"/>
        <v>2.4876749999999999</v>
      </c>
      <c r="E65" s="13">
        <f t="shared" si="11"/>
        <v>0.95741362500000005</v>
      </c>
      <c r="F65" s="11">
        <v>0.79</v>
      </c>
      <c r="G65" s="14">
        <f t="shared" si="12"/>
        <v>20.034911375</v>
      </c>
      <c r="H65" s="31">
        <f t="shared" si="13"/>
        <v>2.9841636249999999</v>
      </c>
      <c r="I65" s="47">
        <v>4.62</v>
      </c>
      <c r="J65" s="33">
        <f t="shared" si="14"/>
        <v>15.395836374999998</v>
      </c>
      <c r="K65" s="18">
        <f t="shared" si="15"/>
        <v>0.87108310326086957</v>
      </c>
      <c r="L65" s="16">
        <f t="shared" si="16"/>
        <v>0.66938419021739126</v>
      </c>
      <c r="M65" s="17">
        <f t="shared" si="17"/>
        <v>-4.6390750000000018</v>
      </c>
      <c r="N65" s="18">
        <f t="shared" si="18"/>
        <v>0.20169891304347831</v>
      </c>
      <c r="O65" s="27"/>
    </row>
    <row r="66" spans="1:15" ht="15.75" customHeight="1" x14ac:dyDescent="0.25">
      <c r="A66" s="21">
        <v>23.85</v>
      </c>
      <c r="B66" s="13">
        <f>IF(A66&lt;5,0.99,'tax and shipping settings'!$B$2)</f>
        <v>1.27</v>
      </c>
      <c r="C66" s="11">
        <f>(A66+B66)*'tax and shipping settings'!$B$1</f>
        <v>2.0975200000000003</v>
      </c>
      <c r="D66" s="13">
        <f t="shared" si="10"/>
        <v>2.5747999999999998</v>
      </c>
      <c r="E66" s="13">
        <f t="shared" si="11"/>
        <v>0.98043800000000014</v>
      </c>
      <c r="F66" s="11">
        <v>0.79</v>
      </c>
      <c r="G66" s="14">
        <f t="shared" si="12"/>
        <v>20.774762000000003</v>
      </c>
      <c r="H66" s="14">
        <f t="shared" si="13"/>
        <v>3.0832629999999996</v>
      </c>
      <c r="I66" s="21">
        <v>4.62</v>
      </c>
      <c r="J66" s="14">
        <f t="shared" si="14"/>
        <v>16.146737000000002</v>
      </c>
      <c r="K66" s="26">
        <f t="shared" si="15"/>
        <v>0.87105920335429776</v>
      </c>
      <c r="L66" s="24">
        <f t="shared" si="16"/>
        <v>0.67701203354297701</v>
      </c>
      <c r="M66" s="36">
        <f t="shared" si="17"/>
        <v>-4.6280250000000009</v>
      </c>
      <c r="N66" s="26">
        <f t="shared" si="18"/>
        <v>0.19404716981132075</v>
      </c>
      <c r="O66" s="27"/>
    </row>
    <row r="67" spans="1:15" ht="15.75" customHeight="1" x14ac:dyDescent="0.25">
      <c r="A67" s="13">
        <v>24</v>
      </c>
      <c r="B67" s="13">
        <f>IF(A67&lt;5,0.99,'tax and shipping settings'!$B$2)</f>
        <v>1.27</v>
      </c>
      <c r="C67" s="11">
        <f>(A67+B67)*'tax and shipping settings'!$B$1</f>
        <v>2.1100449999999999</v>
      </c>
      <c r="D67" s="13">
        <f t="shared" si="10"/>
        <v>2.5901749999999999</v>
      </c>
      <c r="E67" s="13">
        <f t="shared" si="11"/>
        <v>0.98450112499999998</v>
      </c>
      <c r="F67" s="11">
        <v>0.79</v>
      </c>
      <c r="G67" s="14">
        <f t="shared" si="12"/>
        <v>20.905323875000001</v>
      </c>
      <c r="H67" s="13">
        <f t="shared" si="13"/>
        <v>3.1007511249999995</v>
      </c>
      <c r="I67" s="11">
        <v>4.62</v>
      </c>
      <c r="J67" s="14">
        <f t="shared" si="14"/>
        <v>16.279248875</v>
      </c>
      <c r="K67" s="18">
        <f t="shared" si="15"/>
        <v>0.87105516145833339</v>
      </c>
      <c r="L67" s="16">
        <f t="shared" si="16"/>
        <v>0.67830203645833331</v>
      </c>
      <c r="M67" s="17">
        <f t="shared" si="17"/>
        <v>-4.6260750000000002</v>
      </c>
      <c r="N67" s="18">
        <f t="shared" si="18"/>
        <v>0.19275312500000008</v>
      </c>
    </row>
    <row r="68" spans="1:15" ht="15.75" customHeight="1" x14ac:dyDescent="0.25">
      <c r="A68" s="13">
        <v>25</v>
      </c>
      <c r="B68" s="13">
        <f>IF(A68&lt;5,0.99,'tax and shipping settings'!$B$2)</f>
        <v>1.27</v>
      </c>
      <c r="C68" s="11">
        <f>(A68+B68)*'tax and shipping settings'!$B$1</f>
        <v>2.1935450000000003</v>
      </c>
      <c r="D68" s="13">
        <f t="shared" si="10"/>
        <v>2.6926749999999999</v>
      </c>
      <c r="E68" s="13">
        <f t="shared" si="11"/>
        <v>1.0115886250000001</v>
      </c>
      <c r="F68" s="11">
        <v>0.79</v>
      </c>
      <c r="G68" s="14">
        <f t="shared" si="12"/>
        <v>21.775736374999997</v>
      </c>
      <c r="H68" s="13">
        <f t="shared" si="13"/>
        <v>3.217338625</v>
      </c>
      <c r="I68" s="11">
        <v>4.62</v>
      </c>
      <c r="J68" s="14">
        <f t="shared" si="14"/>
        <v>17.162661374999999</v>
      </c>
      <c r="K68" s="18">
        <f t="shared" si="15"/>
        <v>0.87102945499999995</v>
      </c>
      <c r="L68" s="16">
        <f t="shared" si="16"/>
        <v>0.68650645499999996</v>
      </c>
      <c r="M68" s="17">
        <f t="shared" si="17"/>
        <v>-4.6130749999999985</v>
      </c>
      <c r="N68" s="18">
        <f t="shared" si="18"/>
        <v>0.18452299999999999</v>
      </c>
    </row>
    <row r="69" spans="1:15" ht="15.75" customHeight="1" x14ac:dyDescent="0.25">
      <c r="A69" s="13">
        <v>26</v>
      </c>
      <c r="B69" s="13">
        <f>IF(A69&lt;5,0.99,'tax and shipping settings'!$B$2)</f>
        <v>1.27</v>
      </c>
      <c r="C69" s="11">
        <f>(A69+B69)*'tax and shipping settings'!$B$1</f>
        <v>2.2770450000000002</v>
      </c>
      <c r="D69" s="13">
        <f t="shared" si="10"/>
        <v>2.795175</v>
      </c>
      <c r="E69" s="13">
        <f t="shared" si="11"/>
        <v>1.0386761250000001</v>
      </c>
      <c r="F69" s="11">
        <v>0.79</v>
      </c>
      <c r="G69" s="14">
        <f t="shared" si="12"/>
        <v>22.646148875000002</v>
      </c>
      <c r="H69" s="13">
        <f t="shared" si="13"/>
        <v>3.3339261250000001</v>
      </c>
      <c r="I69" s="11">
        <v>4.62</v>
      </c>
      <c r="J69" s="14">
        <f t="shared" si="14"/>
        <v>18.046073874999998</v>
      </c>
      <c r="K69" s="18">
        <f t="shared" si="15"/>
        <v>0.87100572596153847</v>
      </c>
      <c r="L69" s="16">
        <f t="shared" si="16"/>
        <v>0.69407976442307684</v>
      </c>
      <c r="M69" s="17">
        <f t="shared" si="17"/>
        <v>-4.6000750000000039</v>
      </c>
      <c r="N69" s="18">
        <f t="shared" si="18"/>
        <v>0.17692596153846163</v>
      </c>
    </row>
    <row r="70" spans="1:15" ht="15.75" customHeight="1" x14ac:dyDescent="0.25">
      <c r="A70" s="13">
        <v>27</v>
      </c>
      <c r="B70" s="13">
        <f>IF(A70&lt;5,0.99,'tax and shipping settings'!$B$2)</f>
        <v>1.27</v>
      </c>
      <c r="C70" s="11">
        <f>(A70+B70)*'tax and shipping settings'!$B$1</f>
        <v>2.3605450000000001</v>
      </c>
      <c r="D70" s="13">
        <f t="shared" si="10"/>
        <v>2.897675</v>
      </c>
      <c r="E70" s="13">
        <f t="shared" si="11"/>
        <v>1.065763625</v>
      </c>
      <c r="F70" s="11">
        <v>0.79</v>
      </c>
      <c r="G70" s="14">
        <f t="shared" si="12"/>
        <v>23.516561375000002</v>
      </c>
      <c r="H70" s="13">
        <f t="shared" si="13"/>
        <v>3.4505136250000001</v>
      </c>
      <c r="I70" s="11">
        <v>4.62</v>
      </c>
      <c r="J70" s="14">
        <f t="shared" si="14"/>
        <v>18.929486375</v>
      </c>
      <c r="K70" s="18">
        <f t="shared" si="15"/>
        <v>0.87098375462962974</v>
      </c>
      <c r="L70" s="37">
        <f t="shared" si="16"/>
        <v>0.70109208796296296</v>
      </c>
      <c r="M70" s="17">
        <f t="shared" si="17"/>
        <v>-4.5870750000000022</v>
      </c>
      <c r="N70" s="18">
        <f t="shared" si="18"/>
        <v>0.16989166666666677</v>
      </c>
    </row>
    <row r="71" spans="1:15" ht="15.75" customHeight="1" x14ac:dyDescent="0.25">
      <c r="A71" s="13">
        <v>28</v>
      </c>
      <c r="B71" s="13">
        <f>IF(A71&lt;5,0.99,'tax and shipping settings'!$B$2)</f>
        <v>1.27</v>
      </c>
      <c r="C71" s="11">
        <f>(A71+B71)*'tax and shipping settings'!$B$1</f>
        <v>2.444045</v>
      </c>
      <c r="D71" s="13">
        <f t="shared" si="10"/>
        <v>3.0001749999999996</v>
      </c>
      <c r="E71" s="13">
        <f t="shared" si="11"/>
        <v>1.0928511249999999</v>
      </c>
      <c r="F71" s="11">
        <v>0.79</v>
      </c>
      <c r="G71" s="14">
        <f t="shared" si="12"/>
        <v>24.386973875000002</v>
      </c>
      <c r="H71" s="13">
        <f t="shared" si="13"/>
        <v>3.5671011249999998</v>
      </c>
      <c r="I71" s="11">
        <v>4.62</v>
      </c>
      <c r="J71" s="14">
        <f t="shared" si="14"/>
        <v>19.812898874999998</v>
      </c>
      <c r="K71" s="18">
        <f t="shared" si="15"/>
        <v>0.8709633526785715</v>
      </c>
      <c r="L71" s="37">
        <f t="shared" si="16"/>
        <v>0.70760353124999997</v>
      </c>
      <c r="M71" s="17">
        <f t="shared" si="17"/>
        <v>-4.5740750000000041</v>
      </c>
      <c r="N71" s="18">
        <f t="shared" si="18"/>
        <v>0.16335982142857153</v>
      </c>
    </row>
    <row r="72" spans="1:15" ht="15.75" customHeight="1" x14ac:dyDescent="0.25">
      <c r="A72" s="13">
        <v>29</v>
      </c>
      <c r="B72" s="13">
        <f>IF(A72&lt;5,0.99,'tax and shipping settings'!$B$2)</f>
        <v>1.27</v>
      </c>
      <c r="C72" s="11">
        <f>(A72+B72)*'tax and shipping settings'!$B$1</f>
        <v>2.5275449999999999</v>
      </c>
      <c r="D72" s="13">
        <f t="shared" si="10"/>
        <v>3.1026749999999996</v>
      </c>
      <c r="E72" s="13">
        <f t="shared" si="11"/>
        <v>1.1199386250000001</v>
      </c>
      <c r="F72" s="11">
        <v>0.79</v>
      </c>
      <c r="G72" s="14">
        <f t="shared" si="12"/>
        <v>25.257386374999999</v>
      </c>
      <c r="H72" s="13">
        <f t="shared" si="13"/>
        <v>3.6836886250000003</v>
      </c>
      <c r="I72" s="11">
        <v>4.62</v>
      </c>
      <c r="J72" s="14">
        <f t="shared" si="14"/>
        <v>20.696311374999997</v>
      </c>
      <c r="K72" s="18">
        <f t="shared" si="15"/>
        <v>0.87094435775862067</v>
      </c>
      <c r="L72" s="37">
        <f t="shared" si="16"/>
        <v>0.71366590948275854</v>
      </c>
      <c r="M72" s="17">
        <f t="shared" si="17"/>
        <v>-4.5610750000000024</v>
      </c>
      <c r="N72" s="18">
        <f t="shared" si="18"/>
        <v>0.15727844827586213</v>
      </c>
    </row>
    <row r="73" spans="1:15" ht="15.75" customHeight="1" x14ac:dyDescent="0.25">
      <c r="A73" s="13">
        <v>30</v>
      </c>
      <c r="B73" s="13">
        <f>IF(A73&lt;5,0.99,'tax and shipping settings'!$B$2)</f>
        <v>1.27</v>
      </c>
      <c r="C73" s="11">
        <f>(A73+B73)*'tax and shipping settings'!$B$1</f>
        <v>2.6110450000000003</v>
      </c>
      <c r="D73" s="13">
        <f t="shared" si="10"/>
        <v>3.2051749999999997</v>
      </c>
      <c r="E73" s="13">
        <f t="shared" si="11"/>
        <v>1.147026125</v>
      </c>
      <c r="F73" s="11">
        <v>0.79</v>
      </c>
      <c r="G73" s="14">
        <f t="shared" si="12"/>
        <v>26.127798875</v>
      </c>
      <c r="H73" s="13">
        <f t="shared" si="13"/>
        <v>3.8002761249999999</v>
      </c>
      <c r="I73" s="11">
        <v>4.62</v>
      </c>
      <c r="J73" s="14">
        <f t="shared" si="14"/>
        <v>21.579723874999999</v>
      </c>
      <c r="K73" s="18">
        <f t="shared" si="15"/>
        <v>0.87092662916666663</v>
      </c>
      <c r="L73" s="38">
        <f t="shared" si="16"/>
        <v>0.71932412916666666</v>
      </c>
      <c r="M73" s="17">
        <f t="shared" si="17"/>
        <v>-4.5480750000000008</v>
      </c>
      <c r="N73" s="18">
        <f t="shared" si="18"/>
        <v>0.15160249999999997</v>
      </c>
    </row>
    <row r="74" spans="1:15" ht="15.75" customHeight="1" x14ac:dyDescent="0.25">
      <c r="A74" s="13">
        <v>31</v>
      </c>
      <c r="B74" s="13">
        <f>IF(A74&lt;5,0.99,'tax and shipping settings'!$B$2)</f>
        <v>1.27</v>
      </c>
      <c r="C74" s="11">
        <f>(A74+B74)*'tax and shipping settings'!$B$1</f>
        <v>2.6945450000000006</v>
      </c>
      <c r="D74" s="13">
        <f t="shared" si="10"/>
        <v>3.3076750000000001</v>
      </c>
      <c r="E74" s="13">
        <f t="shared" si="11"/>
        <v>1.1741136250000002</v>
      </c>
      <c r="F74" s="11">
        <v>0.79</v>
      </c>
      <c r="G74" s="14">
        <f t="shared" si="12"/>
        <v>26.998211375000004</v>
      </c>
      <c r="H74" s="13">
        <f t="shared" si="13"/>
        <v>3.9168636249999995</v>
      </c>
      <c r="I74" s="11">
        <v>4.62</v>
      </c>
      <c r="J74" s="14">
        <f t="shared" si="14"/>
        <v>22.463136375000001</v>
      </c>
      <c r="K74" s="18">
        <f t="shared" si="15"/>
        <v>0.87091004435483887</v>
      </c>
      <c r="L74" s="38">
        <f t="shared" si="16"/>
        <v>0.72461730241935485</v>
      </c>
      <c r="M74" s="17">
        <f t="shared" si="17"/>
        <v>-4.5350750000000026</v>
      </c>
      <c r="N74" s="18">
        <f t="shared" si="18"/>
        <v>0.14629274193548403</v>
      </c>
    </row>
    <row r="75" spans="1:15" ht="15.75" customHeight="1" x14ac:dyDescent="0.25">
      <c r="A75" s="13">
        <v>32</v>
      </c>
      <c r="B75" s="13">
        <f>IF(A75&lt;5,0.99,'tax and shipping settings'!$B$2)</f>
        <v>1.27</v>
      </c>
      <c r="C75" s="11">
        <f>(A75+B75)*'tax and shipping settings'!$B$1</f>
        <v>2.7780450000000005</v>
      </c>
      <c r="D75" s="13">
        <f t="shared" si="10"/>
        <v>3.4101750000000002</v>
      </c>
      <c r="E75" s="13">
        <f t="shared" si="11"/>
        <v>1.2012011250000001</v>
      </c>
      <c r="F75" s="11">
        <v>0.79</v>
      </c>
      <c r="G75" s="14">
        <f t="shared" si="12"/>
        <v>27.868623875000004</v>
      </c>
      <c r="H75" s="13">
        <f t="shared" si="13"/>
        <v>4.033451125</v>
      </c>
      <c r="I75" s="11">
        <v>4.62</v>
      </c>
      <c r="J75" s="14">
        <f t="shared" si="14"/>
        <v>23.346548875</v>
      </c>
      <c r="K75" s="18">
        <f t="shared" si="15"/>
        <v>0.87089449609375014</v>
      </c>
      <c r="L75" s="38">
        <f t="shared" si="16"/>
        <v>0.72957965234375</v>
      </c>
      <c r="M75" s="17">
        <f t="shared" si="17"/>
        <v>-4.5220750000000045</v>
      </c>
      <c r="N75" s="18">
        <f t="shared" si="18"/>
        <v>0.14131484375000014</v>
      </c>
    </row>
    <row r="76" spans="1:15" ht="15.75" customHeight="1" x14ac:dyDescent="0.25">
      <c r="A76" s="13">
        <v>33</v>
      </c>
      <c r="B76" s="13">
        <f>IF(A76&lt;5,0.99,'tax and shipping settings'!$B$2)</f>
        <v>1.27</v>
      </c>
      <c r="C76" s="11">
        <f>(A76+B76)*'tax and shipping settings'!$B$1</f>
        <v>2.8615450000000004</v>
      </c>
      <c r="D76" s="13">
        <f t="shared" si="10"/>
        <v>3.5126750000000002</v>
      </c>
      <c r="E76" s="13">
        <f t="shared" si="11"/>
        <v>1.228288625</v>
      </c>
      <c r="F76" s="11">
        <v>0.79</v>
      </c>
      <c r="G76" s="14">
        <f t="shared" si="12"/>
        <v>28.739036375000001</v>
      </c>
      <c r="H76" s="13">
        <f t="shared" si="13"/>
        <v>4.1500386250000005</v>
      </c>
      <c r="I76" s="11">
        <v>4.62</v>
      </c>
      <c r="J76" s="14">
        <f t="shared" si="14"/>
        <v>24.229961374999998</v>
      </c>
      <c r="K76" s="18">
        <f t="shared" si="15"/>
        <v>0.87087989015151523</v>
      </c>
      <c r="L76" s="38">
        <f t="shared" si="16"/>
        <v>0.73424125378787874</v>
      </c>
      <c r="M76" s="17">
        <f t="shared" si="17"/>
        <v>-4.5090750000000028</v>
      </c>
      <c r="N76" s="18">
        <f t="shared" si="18"/>
        <v>0.13663863636363649</v>
      </c>
    </row>
    <row r="77" spans="1:15" ht="15.75" customHeight="1" x14ac:dyDescent="0.25">
      <c r="A77" s="13">
        <v>34</v>
      </c>
      <c r="B77" s="13">
        <f>IF(A77&lt;5,0.99,'tax and shipping settings'!$B$2)</f>
        <v>1.27</v>
      </c>
      <c r="C77" s="11">
        <f>(A77+B77)*'tax and shipping settings'!$B$1</f>
        <v>2.9450450000000004</v>
      </c>
      <c r="D77" s="13">
        <f t="shared" si="10"/>
        <v>3.6151750000000002</v>
      </c>
      <c r="E77" s="13">
        <f t="shared" si="11"/>
        <v>1.2553761250000002</v>
      </c>
      <c r="F77" s="11">
        <v>0.79</v>
      </c>
      <c r="G77" s="14">
        <f t="shared" si="12"/>
        <v>29.609448875000002</v>
      </c>
      <c r="H77" s="13">
        <f t="shared" si="13"/>
        <v>4.2666261250000002</v>
      </c>
      <c r="I77" s="11">
        <v>4.62</v>
      </c>
      <c r="J77" s="14">
        <f t="shared" si="14"/>
        <v>25.113373874999997</v>
      </c>
      <c r="K77" s="18">
        <f t="shared" si="15"/>
        <v>0.87086614338235302</v>
      </c>
      <c r="L77" s="38">
        <f t="shared" si="16"/>
        <v>0.7386286433823529</v>
      </c>
      <c r="M77" s="17">
        <f t="shared" si="17"/>
        <v>-4.4960750000000047</v>
      </c>
      <c r="N77" s="18">
        <f t="shared" si="18"/>
        <v>0.13223750000000012</v>
      </c>
    </row>
    <row r="78" spans="1:15" ht="15.75" customHeight="1" x14ac:dyDescent="0.25">
      <c r="A78" s="13">
        <v>35</v>
      </c>
      <c r="B78" s="13">
        <f>IF(A78&lt;5,0.99,'tax and shipping settings'!$B$2)</f>
        <v>1.27</v>
      </c>
      <c r="C78" s="11">
        <f>(A78+B78)*'tax and shipping settings'!$B$1</f>
        <v>3.0285450000000003</v>
      </c>
      <c r="D78" s="13">
        <f t="shared" si="10"/>
        <v>3.7176750000000003</v>
      </c>
      <c r="E78" s="13">
        <f t="shared" si="11"/>
        <v>1.2824636250000001</v>
      </c>
      <c r="F78" s="11">
        <v>0.79</v>
      </c>
      <c r="G78" s="14">
        <f t="shared" si="12"/>
        <v>30.479861375000006</v>
      </c>
      <c r="H78" s="13">
        <f t="shared" si="13"/>
        <v>4.3832136249999998</v>
      </c>
      <c r="I78" s="11">
        <v>4.62</v>
      </c>
      <c r="J78" s="14">
        <f t="shared" si="14"/>
        <v>25.996786374999999</v>
      </c>
      <c r="K78" s="18">
        <f t="shared" si="15"/>
        <v>0.87085318214285734</v>
      </c>
      <c r="L78" s="38">
        <f t="shared" si="16"/>
        <v>0.74276532500000003</v>
      </c>
      <c r="M78" s="17">
        <f t="shared" si="17"/>
        <v>-4.4830750000000066</v>
      </c>
      <c r="N78" s="18">
        <f t="shared" si="18"/>
        <v>0.12808785714285731</v>
      </c>
    </row>
    <row r="79" spans="1:15" ht="15.75" customHeight="1" x14ac:dyDescent="0.25">
      <c r="A79" s="13">
        <v>36</v>
      </c>
      <c r="B79" s="13">
        <f>IF(A79&lt;5,0.99,'tax and shipping settings'!$B$2)</f>
        <v>1.27</v>
      </c>
      <c r="C79" s="11">
        <f>(A79+B79)*'tax and shipping settings'!$B$1</f>
        <v>3.1120450000000006</v>
      </c>
      <c r="D79" s="13">
        <f t="shared" si="10"/>
        <v>3.8201749999999999</v>
      </c>
      <c r="E79" s="13">
        <f t="shared" si="11"/>
        <v>1.3095511250000003</v>
      </c>
      <c r="F79" s="11">
        <v>0.79</v>
      </c>
      <c r="G79" s="14">
        <f t="shared" si="12"/>
        <v>31.350273875000006</v>
      </c>
      <c r="H79" s="13">
        <f t="shared" si="13"/>
        <v>4.4998011250000003</v>
      </c>
      <c r="I79" s="11">
        <v>4.62</v>
      </c>
      <c r="J79" s="14">
        <f t="shared" si="14"/>
        <v>26.880198874999998</v>
      </c>
      <c r="K79" s="18">
        <f t="shared" si="15"/>
        <v>0.87084094097222242</v>
      </c>
      <c r="L79" s="38">
        <f t="shared" si="16"/>
        <v>0.74667219097222215</v>
      </c>
      <c r="M79" s="17">
        <f t="shared" si="17"/>
        <v>-4.4700750000000085</v>
      </c>
      <c r="N79" s="18">
        <f t="shared" si="18"/>
        <v>0.12416875000000027</v>
      </c>
    </row>
    <row r="80" spans="1:15" ht="15.75" customHeight="1" x14ac:dyDescent="0.25">
      <c r="A80" s="13">
        <v>37</v>
      </c>
      <c r="B80" s="13">
        <f>IF(A80&lt;5,0.99,'tax and shipping settings'!$B$2)</f>
        <v>1.27</v>
      </c>
      <c r="C80" s="11">
        <f>(A80+B80)*'tax and shipping settings'!$B$1</f>
        <v>3.1955450000000005</v>
      </c>
      <c r="D80" s="13">
        <f t="shared" si="10"/>
        <v>3.9226749999999999</v>
      </c>
      <c r="E80" s="13">
        <f t="shared" si="11"/>
        <v>1.3366386250000002</v>
      </c>
      <c r="F80" s="11">
        <v>0.79</v>
      </c>
      <c r="G80" s="14">
        <f t="shared" si="12"/>
        <v>32.220686375000007</v>
      </c>
      <c r="H80" s="13">
        <f t="shared" si="13"/>
        <v>4.6163886249999999</v>
      </c>
      <c r="I80" s="11">
        <v>4.62</v>
      </c>
      <c r="J80" s="14">
        <f t="shared" si="14"/>
        <v>27.763611375</v>
      </c>
      <c r="K80" s="18">
        <f t="shared" si="15"/>
        <v>0.87082936148648671</v>
      </c>
      <c r="L80" s="38">
        <f t="shared" si="16"/>
        <v>0.75036787500000002</v>
      </c>
      <c r="M80" s="17">
        <f t="shared" si="17"/>
        <v>-4.4570750000000068</v>
      </c>
      <c r="N80" s="18">
        <f t="shared" si="18"/>
        <v>0.12046148648648669</v>
      </c>
    </row>
    <row r="81" spans="1:15" ht="15.75" customHeight="1" x14ac:dyDescent="0.25">
      <c r="A81" s="13">
        <v>38</v>
      </c>
      <c r="B81" s="13">
        <f>IF(A81&lt;5,0.99,'tax and shipping settings'!$B$2)</f>
        <v>1.27</v>
      </c>
      <c r="C81" s="11">
        <f>(A81+B81)*'tax and shipping settings'!$B$1</f>
        <v>3.2790450000000004</v>
      </c>
      <c r="D81" s="13">
        <f t="shared" si="10"/>
        <v>4.0251749999999999</v>
      </c>
      <c r="E81" s="13">
        <f t="shared" si="11"/>
        <v>1.3637261250000003</v>
      </c>
      <c r="F81" s="11">
        <v>0.79</v>
      </c>
      <c r="G81" s="14">
        <f t="shared" si="12"/>
        <v>33.091098875000007</v>
      </c>
      <c r="H81" s="13">
        <f t="shared" si="13"/>
        <v>4.7329761250000004</v>
      </c>
      <c r="I81" s="11">
        <v>4.62</v>
      </c>
      <c r="J81" s="14">
        <f t="shared" si="14"/>
        <v>28.647023874999999</v>
      </c>
      <c r="K81" s="18">
        <f t="shared" si="15"/>
        <v>0.87081839144736861</v>
      </c>
      <c r="L81" s="38">
        <f t="shared" si="16"/>
        <v>0.75386904934210519</v>
      </c>
      <c r="M81" s="17">
        <f t="shared" si="17"/>
        <v>-4.4440750000000087</v>
      </c>
      <c r="N81" s="18">
        <f t="shared" si="18"/>
        <v>0.11694934210526342</v>
      </c>
    </row>
    <row r="82" spans="1:15" ht="15.75" customHeight="1" x14ac:dyDescent="0.25">
      <c r="A82" s="13">
        <v>39</v>
      </c>
      <c r="B82" s="13">
        <f>IF(A82&lt;5,0.99,'tax and shipping settings'!$B$2)</f>
        <v>1.27</v>
      </c>
      <c r="C82" s="11">
        <f>(A82+B82)*'tax and shipping settings'!$B$1</f>
        <v>3.3625450000000003</v>
      </c>
      <c r="D82" s="13">
        <f t="shared" si="10"/>
        <v>4.127675</v>
      </c>
      <c r="E82" s="13">
        <f t="shared" si="11"/>
        <v>1.3908136250000001</v>
      </c>
      <c r="F82" s="11">
        <v>0.79</v>
      </c>
      <c r="G82" s="14">
        <f t="shared" si="12"/>
        <v>33.961511375000001</v>
      </c>
      <c r="H82" s="13">
        <f t="shared" si="13"/>
        <v>4.849563625</v>
      </c>
      <c r="I82" s="11">
        <v>4.62</v>
      </c>
      <c r="J82" s="14">
        <f t="shared" si="14"/>
        <v>29.530436374999997</v>
      </c>
      <c r="K82" s="18">
        <f t="shared" si="15"/>
        <v>0.87080798397435899</v>
      </c>
      <c r="L82" s="38">
        <f t="shared" si="16"/>
        <v>0.75719067628205117</v>
      </c>
      <c r="M82" s="17">
        <f t="shared" si="17"/>
        <v>-4.4310750000000034</v>
      </c>
      <c r="N82" s="18">
        <f t="shared" si="18"/>
        <v>0.11361730769230782</v>
      </c>
    </row>
    <row r="83" spans="1:15" ht="15.75" customHeight="1" x14ac:dyDescent="0.25">
      <c r="A83" s="13">
        <v>40</v>
      </c>
      <c r="B83" s="13">
        <f>IF(A83&lt;5,0.99,'tax and shipping settings'!$B$2)</f>
        <v>1.27</v>
      </c>
      <c r="C83" s="11">
        <f>(A83+B83)*'tax and shipping settings'!$B$1</f>
        <v>3.4460450000000002</v>
      </c>
      <c r="D83" s="13">
        <f t="shared" si="10"/>
        <v>4.230175</v>
      </c>
      <c r="E83" s="13">
        <f t="shared" si="11"/>
        <v>1.4179011250000002</v>
      </c>
      <c r="F83" s="11">
        <v>0.79</v>
      </c>
      <c r="G83" s="14">
        <f t="shared" si="12"/>
        <v>34.831923875000001</v>
      </c>
      <c r="H83" s="13">
        <f t="shared" si="13"/>
        <v>4.9661511249999997</v>
      </c>
      <c r="I83" s="11">
        <v>4.62</v>
      </c>
      <c r="J83" s="14">
        <f t="shared" si="14"/>
        <v>30.413848875000003</v>
      </c>
      <c r="K83" s="40">
        <f t="shared" si="15"/>
        <v>0.87079809687499998</v>
      </c>
      <c r="L83" s="38">
        <f t="shared" si="16"/>
        <v>0.76034622187500012</v>
      </c>
      <c r="M83" s="17">
        <f t="shared" si="17"/>
        <v>-4.4180749999999982</v>
      </c>
      <c r="N83" s="18">
        <f t="shared" si="18"/>
        <v>0.11045187499999987</v>
      </c>
    </row>
    <row r="84" spans="1:15" ht="15.75" customHeight="1" x14ac:dyDescent="0.25">
      <c r="A84" s="13">
        <v>41</v>
      </c>
      <c r="B84" s="13">
        <f>IF(A84&lt;5,0.99,'tax and shipping settings'!$B$2)</f>
        <v>1.27</v>
      </c>
      <c r="C84" s="11">
        <f>(A84+B84)*'tax and shipping settings'!$B$1</f>
        <v>3.5295450000000006</v>
      </c>
      <c r="D84" s="13">
        <f t="shared" si="10"/>
        <v>4.3326750000000001</v>
      </c>
      <c r="E84" s="13">
        <f t="shared" si="11"/>
        <v>1.4449886250000001</v>
      </c>
      <c r="F84" s="11">
        <v>0.79</v>
      </c>
      <c r="G84" s="14">
        <f t="shared" si="12"/>
        <v>35.702336375000002</v>
      </c>
      <c r="H84" s="13">
        <f t="shared" si="13"/>
        <v>5.0827386249999993</v>
      </c>
      <c r="I84" s="11">
        <v>4.62</v>
      </c>
      <c r="J84" s="14">
        <f t="shared" si="14"/>
        <v>31.297261375000001</v>
      </c>
      <c r="K84" s="40">
        <f t="shared" si="15"/>
        <v>0.87078869207317078</v>
      </c>
      <c r="L84" s="38">
        <f t="shared" si="16"/>
        <v>0.76334783841463416</v>
      </c>
      <c r="M84" s="17">
        <f t="shared" si="17"/>
        <v>-4.4050750000000001</v>
      </c>
      <c r="N84" s="18">
        <f t="shared" si="18"/>
        <v>0.10744085365853662</v>
      </c>
    </row>
    <row r="85" spans="1:15" ht="15.75" customHeight="1" x14ac:dyDescent="0.25">
      <c r="A85" s="13">
        <v>42</v>
      </c>
      <c r="B85" s="13">
        <f>IF(A85&lt;5,0.99,'tax and shipping settings'!$B$2)</f>
        <v>1.27</v>
      </c>
      <c r="C85" s="11">
        <f>(A85+B85)*'tax and shipping settings'!$B$1</f>
        <v>3.6130450000000005</v>
      </c>
      <c r="D85" s="13">
        <f t="shared" si="10"/>
        <v>4.4351750000000001</v>
      </c>
      <c r="E85" s="13">
        <f t="shared" si="11"/>
        <v>1.4720761250000001</v>
      </c>
      <c r="F85" s="11">
        <v>0.79</v>
      </c>
      <c r="G85" s="14">
        <f t="shared" si="12"/>
        <v>36.572748875000002</v>
      </c>
      <c r="H85" s="13">
        <f t="shared" si="13"/>
        <v>5.1993261249999998</v>
      </c>
      <c r="I85" s="11">
        <v>4.62</v>
      </c>
      <c r="J85" s="14">
        <f t="shared" si="14"/>
        <v>32.180673875000004</v>
      </c>
      <c r="K85" s="40">
        <f t="shared" si="15"/>
        <v>0.87077973511904772</v>
      </c>
      <c r="L85" s="40">
        <f t="shared" si="16"/>
        <v>0.7662065208333334</v>
      </c>
      <c r="M85" s="17">
        <f t="shared" si="17"/>
        <v>-4.3920749999999984</v>
      </c>
      <c r="N85" s="18">
        <f t="shared" si="18"/>
        <v>0.10457321428571431</v>
      </c>
    </row>
    <row r="86" spans="1:15" ht="15.75" customHeight="1" x14ac:dyDescent="0.25">
      <c r="A86" s="13">
        <v>43</v>
      </c>
      <c r="B86" s="13">
        <f>IF(A86&lt;5,0.99,'tax and shipping settings'!$B$2)</f>
        <v>1.27</v>
      </c>
      <c r="C86" s="11">
        <f>(A86+B86)*'tax and shipping settings'!$B$1</f>
        <v>3.6965450000000004</v>
      </c>
      <c r="D86" s="13">
        <f t="shared" si="10"/>
        <v>4.5376750000000001</v>
      </c>
      <c r="E86" s="13">
        <f t="shared" si="11"/>
        <v>1.4991636250000002</v>
      </c>
      <c r="F86" s="11">
        <v>0.79</v>
      </c>
      <c r="G86" s="14">
        <f t="shared" si="12"/>
        <v>37.443161375000003</v>
      </c>
      <c r="H86" s="13">
        <f t="shared" si="13"/>
        <v>5.3159136250000003</v>
      </c>
      <c r="I86" s="11">
        <v>4.62</v>
      </c>
      <c r="J86" s="14">
        <f t="shared" si="14"/>
        <v>33.064086375000002</v>
      </c>
      <c r="K86" s="18">
        <f t="shared" si="15"/>
        <v>0.87077119476744191</v>
      </c>
      <c r="L86" s="40">
        <f t="shared" si="16"/>
        <v>0.76893224127906978</v>
      </c>
      <c r="M86" s="17">
        <f t="shared" si="17"/>
        <v>-4.3790750000000003</v>
      </c>
      <c r="N86" s="18">
        <f t="shared" si="18"/>
        <v>0.10183895348837213</v>
      </c>
    </row>
    <row r="87" spans="1:15" ht="15.75" customHeight="1" x14ac:dyDescent="0.25">
      <c r="A87" s="13">
        <v>44</v>
      </c>
      <c r="B87" s="13">
        <f>IF(A87&lt;5,0.99,'tax and shipping settings'!$B$2)</f>
        <v>1.27</v>
      </c>
      <c r="C87" s="11">
        <f>(A87+B87)*'tax and shipping settings'!$B$1</f>
        <v>3.7800450000000003</v>
      </c>
      <c r="D87" s="13">
        <f t="shared" si="10"/>
        <v>4.6401750000000002</v>
      </c>
      <c r="E87" s="13">
        <f t="shared" si="11"/>
        <v>1.5262511250000002</v>
      </c>
      <c r="F87" s="11">
        <v>0.79</v>
      </c>
      <c r="G87" s="14">
        <f t="shared" si="12"/>
        <v>38.313573875000003</v>
      </c>
      <c r="H87" s="13">
        <f t="shared" si="13"/>
        <v>5.4325011249999999</v>
      </c>
      <c r="I87" s="11">
        <v>4.62</v>
      </c>
      <c r="J87" s="14">
        <f t="shared" si="14"/>
        <v>33.947498875000001</v>
      </c>
      <c r="K87" s="18">
        <f t="shared" si="15"/>
        <v>0.87076304261363646</v>
      </c>
      <c r="L87" s="40">
        <f t="shared" si="16"/>
        <v>0.77153406534090907</v>
      </c>
      <c r="M87" s="17">
        <f t="shared" si="17"/>
        <v>-4.3660750000000021</v>
      </c>
      <c r="N87" s="18">
        <f t="shared" si="18"/>
        <v>9.9228977272727392E-2</v>
      </c>
    </row>
    <row r="88" spans="1:15" ht="15.75" customHeight="1" x14ac:dyDescent="0.25">
      <c r="A88" s="21">
        <v>44.99</v>
      </c>
      <c r="B88" s="14">
        <f>IF(A88&lt;5,0.99,'tax and shipping settings'!$B$2)</f>
        <v>1.27</v>
      </c>
      <c r="C88" s="21">
        <f>(A88+B88)*'tax and shipping settings'!$B$1</f>
        <v>3.8627100000000008</v>
      </c>
      <c r="D88" s="14">
        <f t="shared" si="10"/>
        <v>4.7416499999999999</v>
      </c>
      <c r="E88" s="14">
        <f t="shared" si="11"/>
        <v>1.5530677500000003</v>
      </c>
      <c r="F88" s="21">
        <v>0.79</v>
      </c>
      <c r="G88" s="14">
        <f t="shared" si="12"/>
        <v>39.175282250000002</v>
      </c>
      <c r="H88" s="13">
        <f t="shared" si="13"/>
        <v>5.5479227499999997</v>
      </c>
      <c r="I88" s="11">
        <v>4.62</v>
      </c>
      <c r="J88" s="14">
        <f t="shared" si="14"/>
        <v>34.822077250000007</v>
      </c>
      <c r="K88" s="18">
        <f t="shared" si="15"/>
        <v>0.87075532896199159</v>
      </c>
      <c r="L88" s="40">
        <f t="shared" si="16"/>
        <v>0.77399593798621924</v>
      </c>
      <c r="M88" s="17">
        <f t="shared" si="17"/>
        <v>-4.3532049999999956</v>
      </c>
      <c r="N88" s="18">
        <f t="shared" si="18"/>
        <v>9.6759390975772352E-2</v>
      </c>
      <c r="O88" s="49"/>
    </row>
    <row r="89" spans="1:15" ht="15.75" customHeight="1" x14ac:dyDescent="0.25">
      <c r="G89" s="27"/>
      <c r="I89" s="50"/>
      <c r="J89" s="27"/>
      <c r="O89" s="49"/>
    </row>
    <row r="90" spans="1:15" ht="15.75" customHeight="1" x14ac:dyDescent="0.25">
      <c r="A90" s="32">
        <v>45</v>
      </c>
      <c r="B90" s="31">
        <f>IF(A90&lt;5,0.99,'tax and shipping settings'!$B$2)</f>
        <v>1.27</v>
      </c>
      <c r="C90" s="32">
        <f>(A90+B90)*'tax and shipping settings'!$B$1</f>
        <v>3.8635450000000007</v>
      </c>
      <c r="D90" s="31">
        <f t="shared" ref="D90:D146" si="19">MIN(50,(A90+B90)*0.1025)</f>
        <v>4.7426750000000002</v>
      </c>
      <c r="E90" s="31">
        <f t="shared" ref="E90:E146" si="20">(A90+B90+C90)*0.025+0.3</f>
        <v>1.5533386250000003</v>
      </c>
      <c r="F90" s="32">
        <v>4.25</v>
      </c>
      <c r="G90" s="33">
        <f t="shared" ref="G90:G146" si="21">A90+B90-D90-E90-F90</f>
        <v>35.723986375000003</v>
      </c>
      <c r="H90" s="13">
        <f t="shared" ref="H90:H146" si="22">0.3 + (A90+C90)*(0.025) + A90*(0.0895)</f>
        <v>5.5490886249999996</v>
      </c>
      <c r="I90" s="11">
        <v>4.62</v>
      </c>
      <c r="J90" s="14">
        <f t="shared" ref="J90:J146" si="23">A90-H90-I90</f>
        <v>34.830911375000007</v>
      </c>
      <c r="K90" s="18">
        <f t="shared" ref="K90:K146" si="24">G90/A90</f>
        <v>0.79386636388888898</v>
      </c>
      <c r="L90" s="18">
        <f t="shared" ref="L90:L146" si="25">J90/A90</f>
        <v>0.77402025277777797</v>
      </c>
      <c r="M90" s="17">
        <f t="shared" ref="M90:M146" si="26">J90-G90</f>
        <v>-0.89307499999999607</v>
      </c>
      <c r="N90" s="18">
        <f t="shared" ref="N90:N146" si="27">(K90-L90)</f>
        <v>1.9846111111111009E-2</v>
      </c>
      <c r="O90" s="49"/>
    </row>
    <row r="91" spans="1:15" ht="15.75" customHeight="1" x14ac:dyDescent="0.25">
      <c r="A91" s="31">
        <v>46</v>
      </c>
      <c r="B91" s="31">
        <f>IF(A91&lt;5,0.99,'tax and shipping settings'!$B$2)</f>
        <v>1.27</v>
      </c>
      <c r="C91" s="32">
        <f>(A91+B91)*'tax and shipping settings'!$B$1</f>
        <v>3.9470450000000006</v>
      </c>
      <c r="D91" s="31">
        <f t="shared" si="19"/>
        <v>4.8451750000000002</v>
      </c>
      <c r="E91" s="31">
        <f t="shared" si="20"/>
        <v>1.5804261250000002</v>
      </c>
      <c r="F91" s="32">
        <v>4.25</v>
      </c>
      <c r="G91" s="33">
        <f t="shared" si="21"/>
        <v>36.594398875000003</v>
      </c>
      <c r="H91" s="13">
        <f t="shared" si="22"/>
        <v>5.6656761250000001</v>
      </c>
      <c r="I91" s="11">
        <v>4.62</v>
      </c>
      <c r="J91" s="14">
        <f t="shared" si="23"/>
        <v>35.714323875000005</v>
      </c>
      <c r="K91" s="18">
        <f t="shared" si="24"/>
        <v>0.79553041032608707</v>
      </c>
      <c r="L91" s="18">
        <f t="shared" si="25"/>
        <v>0.77639834510869576</v>
      </c>
      <c r="M91" s="17">
        <f t="shared" si="26"/>
        <v>-0.88007499999999794</v>
      </c>
      <c r="N91" s="18">
        <f t="shared" si="27"/>
        <v>1.9132065217391303E-2</v>
      </c>
    </row>
    <row r="92" spans="1:15" ht="15.75" customHeight="1" x14ac:dyDescent="0.25">
      <c r="A92" s="31">
        <v>47</v>
      </c>
      <c r="B92" s="31">
        <f>IF(A92&lt;5,0.99,'tax and shipping settings'!$B$2)</f>
        <v>1.27</v>
      </c>
      <c r="C92" s="32">
        <f>(A92+B92)*'tax and shipping settings'!$B$1</f>
        <v>4.0305450000000009</v>
      </c>
      <c r="D92" s="31">
        <f t="shared" si="19"/>
        <v>4.9476750000000003</v>
      </c>
      <c r="E92" s="31">
        <f t="shared" si="20"/>
        <v>1.6075136250000004</v>
      </c>
      <c r="F92" s="32">
        <v>4.25</v>
      </c>
      <c r="G92" s="33">
        <f t="shared" si="21"/>
        <v>37.464811375000004</v>
      </c>
      <c r="H92" s="13">
        <f t="shared" si="22"/>
        <v>5.7822636250000006</v>
      </c>
      <c r="I92" s="11">
        <v>4.62</v>
      </c>
      <c r="J92" s="14">
        <f t="shared" si="23"/>
        <v>36.597736375000004</v>
      </c>
      <c r="K92" s="18">
        <f t="shared" si="24"/>
        <v>0.79712364627659582</v>
      </c>
      <c r="L92" s="18">
        <f t="shared" si="25"/>
        <v>0.77867524202127669</v>
      </c>
      <c r="M92" s="17">
        <f t="shared" si="26"/>
        <v>-0.86707499999999982</v>
      </c>
      <c r="N92" s="18">
        <f t="shared" si="27"/>
        <v>1.8448404255319129E-2</v>
      </c>
    </row>
    <row r="93" spans="1:15" ht="15.75" customHeight="1" x14ac:dyDescent="0.25">
      <c r="A93" s="31">
        <v>48</v>
      </c>
      <c r="B93" s="31">
        <f>IF(A93&lt;5,0.99,'tax and shipping settings'!$B$2)</f>
        <v>1.27</v>
      </c>
      <c r="C93" s="32">
        <f>(A93+B93)*'tax and shipping settings'!$B$1</f>
        <v>4.1140450000000008</v>
      </c>
      <c r="D93" s="31">
        <f t="shared" si="19"/>
        <v>5.0501750000000003</v>
      </c>
      <c r="E93" s="31">
        <f t="shared" si="20"/>
        <v>1.6346011250000001</v>
      </c>
      <c r="F93" s="32">
        <v>4.25</v>
      </c>
      <c r="G93" s="33">
        <f t="shared" si="21"/>
        <v>38.335223874999997</v>
      </c>
      <c r="H93" s="13">
        <f t="shared" si="22"/>
        <v>5.8988511249999993</v>
      </c>
      <c r="I93" s="11">
        <v>4.62</v>
      </c>
      <c r="J93" s="14">
        <f t="shared" si="23"/>
        <v>37.481148875000002</v>
      </c>
      <c r="K93" s="18">
        <f t="shared" si="24"/>
        <v>0.79865049739583327</v>
      </c>
      <c r="L93" s="18">
        <f t="shared" si="25"/>
        <v>0.78085726822916668</v>
      </c>
      <c r="M93" s="17">
        <f t="shared" si="26"/>
        <v>-0.85407499999999459</v>
      </c>
      <c r="N93" s="18">
        <f t="shared" si="27"/>
        <v>1.7793229166666591E-2</v>
      </c>
    </row>
    <row r="94" spans="1:15" ht="15.75" customHeight="1" x14ac:dyDescent="0.25">
      <c r="A94" s="21">
        <v>48.2</v>
      </c>
      <c r="B94" s="14">
        <f>IF(A94&lt;5,0.99,'tax and shipping settings'!$B$2)</f>
        <v>1.27</v>
      </c>
      <c r="C94" s="21">
        <f>(A94+B94)*'tax and shipping settings'!$B$1</f>
        <v>4.130745000000001</v>
      </c>
      <c r="D94" s="14">
        <f t="shared" si="19"/>
        <v>5.0706750000000005</v>
      </c>
      <c r="E94" s="14">
        <f t="shared" si="20"/>
        <v>1.6400186250000002</v>
      </c>
      <c r="F94" s="21">
        <v>4.25</v>
      </c>
      <c r="G94" s="14">
        <f t="shared" si="21"/>
        <v>38.509306375000001</v>
      </c>
      <c r="H94" s="13">
        <f t="shared" si="22"/>
        <v>5.9221686250000003</v>
      </c>
      <c r="I94" s="11">
        <v>4.62</v>
      </c>
      <c r="J94" s="14">
        <f t="shared" si="23"/>
        <v>37.657831375000008</v>
      </c>
      <c r="K94" s="18">
        <f t="shared" si="24"/>
        <v>0.79894826504149374</v>
      </c>
      <c r="L94" s="18">
        <f t="shared" si="25"/>
        <v>0.78128280860995858</v>
      </c>
      <c r="M94" s="17">
        <f t="shared" si="26"/>
        <v>-0.85147499999999354</v>
      </c>
      <c r="N94" s="18">
        <f t="shared" si="27"/>
        <v>1.7665456431535165E-2</v>
      </c>
    </row>
    <row r="95" spans="1:15" ht="15.75" customHeight="1" x14ac:dyDescent="0.25">
      <c r="A95" s="11">
        <v>49</v>
      </c>
      <c r="B95" s="13">
        <f>IF(A95&lt;5,0.99,'tax and shipping settings'!$B$2)</f>
        <v>1.27</v>
      </c>
      <c r="C95" s="11">
        <f>(A95+B95)*'tax and shipping settings'!$B$1</f>
        <v>4.1975450000000007</v>
      </c>
      <c r="D95" s="13">
        <f t="shared" si="19"/>
        <v>5.1526750000000003</v>
      </c>
      <c r="E95" s="13">
        <f t="shared" si="20"/>
        <v>1.6616886250000003</v>
      </c>
      <c r="F95" s="11">
        <v>4.25</v>
      </c>
      <c r="G95" s="14">
        <f t="shared" si="21"/>
        <v>39.205636374999997</v>
      </c>
      <c r="H95" s="13">
        <f t="shared" si="22"/>
        <v>6.0154386249999998</v>
      </c>
      <c r="I95" s="11">
        <v>4.62</v>
      </c>
      <c r="J95" s="14">
        <f t="shared" si="23"/>
        <v>38.364561375000001</v>
      </c>
      <c r="K95" s="18">
        <f t="shared" si="24"/>
        <v>0.80011502806122448</v>
      </c>
      <c r="L95" s="18">
        <f t="shared" si="25"/>
        <v>0.78295023214285719</v>
      </c>
      <c r="M95" s="17">
        <f t="shared" si="26"/>
        <v>-0.84107499999999646</v>
      </c>
      <c r="N95" s="18">
        <f t="shared" si="27"/>
        <v>1.7164795918367282E-2</v>
      </c>
    </row>
    <row r="96" spans="1:15" ht="15.75" customHeight="1" x14ac:dyDescent="0.25">
      <c r="A96" s="11">
        <v>49.99</v>
      </c>
      <c r="B96" s="13">
        <f>IF(A96&lt;5,0.99,'tax and shipping settings'!$B$2)</f>
        <v>1.27</v>
      </c>
      <c r="C96" s="11">
        <f>(A96+B96)*'tax and shipping settings'!$B$1</f>
        <v>4.2802100000000003</v>
      </c>
      <c r="D96" s="13">
        <f t="shared" si="19"/>
        <v>5.2541500000000001</v>
      </c>
      <c r="E96" s="13">
        <f t="shared" si="20"/>
        <v>1.6885052500000002</v>
      </c>
      <c r="F96" s="11">
        <v>4.25</v>
      </c>
      <c r="G96" s="14">
        <f t="shared" si="21"/>
        <v>40.067344750000004</v>
      </c>
      <c r="H96" s="13">
        <f t="shared" si="22"/>
        <v>6.1308602499999996</v>
      </c>
      <c r="I96" s="11">
        <v>4.62</v>
      </c>
      <c r="J96" s="14">
        <f t="shared" si="23"/>
        <v>39.239139750000007</v>
      </c>
      <c r="K96" s="18">
        <f t="shared" si="24"/>
        <v>0.80150719643928792</v>
      </c>
      <c r="L96" s="18">
        <f t="shared" si="25"/>
        <v>0.78493978295659139</v>
      </c>
      <c r="M96" s="17">
        <f t="shared" si="26"/>
        <v>-0.82820499999999697</v>
      </c>
      <c r="N96" s="18">
        <f t="shared" si="27"/>
        <v>1.6567413482696525E-2</v>
      </c>
    </row>
    <row r="97" spans="1:14" ht="15.75" customHeight="1" x14ac:dyDescent="0.25">
      <c r="A97" s="13">
        <v>50</v>
      </c>
      <c r="B97" s="13">
        <f>IF(A97&lt;5,0.99,'tax and shipping settings'!$B$2)</f>
        <v>1.27</v>
      </c>
      <c r="C97" s="11">
        <f>(A97+B97)*'tax and shipping settings'!$B$1</f>
        <v>4.2810450000000007</v>
      </c>
      <c r="D97" s="13">
        <f t="shared" si="19"/>
        <v>5.2551750000000004</v>
      </c>
      <c r="E97" s="13">
        <f t="shared" si="20"/>
        <v>1.6887761250000002</v>
      </c>
      <c r="F97" s="11">
        <v>4.25</v>
      </c>
      <c r="G97" s="14">
        <f t="shared" si="21"/>
        <v>40.076048875000005</v>
      </c>
      <c r="H97" s="13">
        <f t="shared" si="22"/>
        <v>6.1320261249999994</v>
      </c>
      <c r="I97" s="11">
        <v>4.62</v>
      </c>
      <c r="J97" s="14">
        <f t="shared" si="23"/>
        <v>39.247973875000007</v>
      </c>
      <c r="K97" s="18">
        <f t="shared" si="24"/>
        <v>0.80152097750000006</v>
      </c>
      <c r="L97" s="18">
        <f t="shared" si="25"/>
        <v>0.78495947750000017</v>
      </c>
      <c r="M97" s="17">
        <f t="shared" si="26"/>
        <v>-0.82807499999999834</v>
      </c>
      <c r="N97" s="18">
        <f t="shared" si="27"/>
        <v>1.6561499999999896E-2</v>
      </c>
    </row>
    <row r="98" spans="1:14" ht="15.75" customHeight="1" x14ac:dyDescent="0.25">
      <c r="A98" s="13">
        <v>51</v>
      </c>
      <c r="B98" s="13">
        <f>IF(A98&lt;5,0.99,'tax and shipping settings'!$B$2)</f>
        <v>1.27</v>
      </c>
      <c r="C98" s="11">
        <f>(A98+B98)*'tax and shipping settings'!$B$1</f>
        <v>4.3645450000000006</v>
      </c>
      <c r="D98" s="13">
        <f t="shared" si="19"/>
        <v>5.3576750000000004</v>
      </c>
      <c r="E98" s="13">
        <f t="shared" si="20"/>
        <v>1.7158636250000001</v>
      </c>
      <c r="F98" s="11">
        <v>4.25</v>
      </c>
      <c r="G98" s="14">
        <f t="shared" si="21"/>
        <v>40.946461375000005</v>
      </c>
      <c r="H98" s="13">
        <f t="shared" si="22"/>
        <v>6.2486136249999999</v>
      </c>
      <c r="I98" s="11">
        <v>4.62</v>
      </c>
      <c r="J98" s="14">
        <f t="shared" si="23"/>
        <v>40.131386375000005</v>
      </c>
      <c r="K98" s="18">
        <f t="shared" si="24"/>
        <v>0.80287179166666678</v>
      </c>
      <c r="L98" s="18">
        <f t="shared" si="25"/>
        <v>0.78688992892156873</v>
      </c>
      <c r="M98" s="17">
        <f t="shared" si="26"/>
        <v>-0.81507500000000022</v>
      </c>
      <c r="N98" s="18">
        <f t="shared" si="27"/>
        <v>1.5981862745098052E-2</v>
      </c>
    </row>
    <row r="99" spans="1:14" ht="15.75" customHeight="1" x14ac:dyDescent="0.25">
      <c r="A99" s="13">
        <v>52</v>
      </c>
      <c r="B99" s="13">
        <f>IF(A99&lt;5,0.99,'tax and shipping settings'!$B$2)</f>
        <v>1.27</v>
      </c>
      <c r="C99" s="11">
        <f>(A99+B99)*'tax and shipping settings'!$B$1</f>
        <v>4.4480450000000005</v>
      </c>
      <c r="D99" s="13">
        <f t="shared" si="19"/>
        <v>5.4601749999999996</v>
      </c>
      <c r="E99" s="13">
        <f t="shared" si="20"/>
        <v>1.7429511250000003</v>
      </c>
      <c r="F99" s="11">
        <v>4.25</v>
      </c>
      <c r="G99" s="14">
        <f t="shared" si="21"/>
        <v>41.816873875000006</v>
      </c>
      <c r="H99" s="13">
        <f t="shared" si="22"/>
        <v>6.3652011250000005</v>
      </c>
      <c r="I99" s="11">
        <v>4.62</v>
      </c>
      <c r="J99" s="14">
        <f t="shared" si="23"/>
        <v>41.014798875000004</v>
      </c>
      <c r="K99" s="18">
        <f t="shared" si="24"/>
        <v>0.80417065144230782</v>
      </c>
      <c r="L99" s="18">
        <f t="shared" si="25"/>
        <v>0.78874613221153855</v>
      </c>
      <c r="M99" s="17">
        <f t="shared" si="26"/>
        <v>-0.80207500000000209</v>
      </c>
      <c r="N99" s="18">
        <f t="shared" si="27"/>
        <v>1.5424519230769262E-2</v>
      </c>
    </row>
    <row r="100" spans="1:14" ht="15.75" customHeight="1" x14ac:dyDescent="0.25">
      <c r="A100" s="13">
        <v>53</v>
      </c>
      <c r="B100" s="13">
        <f>IF(A100&lt;5,0.99,'tax and shipping settings'!$B$2)</f>
        <v>1.27</v>
      </c>
      <c r="C100" s="11">
        <f>(A100+B100)*'tax and shipping settings'!$B$1</f>
        <v>4.5315450000000004</v>
      </c>
      <c r="D100" s="13">
        <f t="shared" si="19"/>
        <v>5.5626749999999996</v>
      </c>
      <c r="E100" s="13">
        <f t="shared" si="20"/>
        <v>1.7700386250000002</v>
      </c>
      <c r="F100" s="11">
        <v>4.25</v>
      </c>
      <c r="G100" s="14">
        <f t="shared" si="21"/>
        <v>42.687286375000006</v>
      </c>
      <c r="H100" s="13">
        <f t="shared" si="22"/>
        <v>6.4817886250000001</v>
      </c>
      <c r="I100" s="11">
        <v>4.62</v>
      </c>
      <c r="J100" s="14">
        <f t="shared" si="23"/>
        <v>41.898211375000002</v>
      </c>
      <c r="K100" s="18">
        <f t="shared" si="24"/>
        <v>0.80542049764150958</v>
      </c>
      <c r="L100" s="18">
        <f t="shared" si="25"/>
        <v>0.79053229009433967</v>
      </c>
      <c r="M100" s="17">
        <f t="shared" si="26"/>
        <v>-0.78907500000000397</v>
      </c>
      <c r="N100" s="18">
        <f t="shared" si="27"/>
        <v>1.4888207547169907E-2</v>
      </c>
    </row>
    <row r="101" spans="1:14" ht="15.75" customHeight="1" x14ac:dyDescent="0.25">
      <c r="A101" s="13">
        <v>54</v>
      </c>
      <c r="B101" s="13">
        <f>IF(A101&lt;5,0.99,'tax and shipping settings'!$B$2)</f>
        <v>1.27</v>
      </c>
      <c r="C101" s="11">
        <f>(A101+B101)*'tax and shipping settings'!$B$1</f>
        <v>4.6150450000000003</v>
      </c>
      <c r="D101" s="13">
        <f t="shared" si="19"/>
        <v>5.6651749999999996</v>
      </c>
      <c r="E101" s="13">
        <f t="shared" si="20"/>
        <v>1.7971261250000004</v>
      </c>
      <c r="F101" s="11">
        <v>4.25</v>
      </c>
      <c r="G101" s="14">
        <f t="shared" si="21"/>
        <v>43.557698875000007</v>
      </c>
      <c r="H101" s="13">
        <f t="shared" si="22"/>
        <v>6.5983761250000006</v>
      </c>
      <c r="I101" s="11">
        <v>4.62</v>
      </c>
      <c r="J101" s="14">
        <f t="shared" si="23"/>
        <v>42.781623875000001</v>
      </c>
      <c r="K101" s="18">
        <f t="shared" si="24"/>
        <v>0.80662405324074082</v>
      </c>
      <c r="L101" s="18">
        <f t="shared" si="25"/>
        <v>0.79225229398148145</v>
      </c>
      <c r="M101" s="17">
        <f t="shared" si="26"/>
        <v>-0.77607500000000584</v>
      </c>
      <c r="N101" s="18">
        <f t="shared" si="27"/>
        <v>1.4371759259259376E-2</v>
      </c>
    </row>
    <row r="102" spans="1:14" ht="15.75" customHeight="1" x14ac:dyDescent="0.25">
      <c r="A102" s="13">
        <v>55</v>
      </c>
      <c r="B102" s="13">
        <f>IF(A102&lt;5,0.99,'tax and shipping settings'!$B$2)</f>
        <v>1.27</v>
      </c>
      <c r="C102" s="11">
        <f>(A102+B102)*'tax and shipping settings'!$B$1</f>
        <v>4.6985450000000002</v>
      </c>
      <c r="D102" s="13">
        <f t="shared" si="19"/>
        <v>5.7676749999999997</v>
      </c>
      <c r="E102" s="13">
        <f t="shared" si="20"/>
        <v>1.8242136250000003</v>
      </c>
      <c r="F102" s="11">
        <v>4.25</v>
      </c>
      <c r="G102" s="14">
        <f t="shared" si="21"/>
        <v>44.428111375000007</v>
      </c>
      <c r="H102" s="13">
        <f t="shared" si="22"/>
        <v>6.7149636249999993</v>
      </c>
      <c r="I102" s="11">
        <v>4.62</v>
      </c>
      <c r="J102" s="14">
        <f t="shared" si="23"/>
        <v>43.665036375000007</v>
      </c>
      <c r="K102" s="18">
        <f t="shared" si="24"/>
        <v>0.80778384318181828</v>
      </c>
      <c r="L102" s="18">
        <f t="shared" si="25"/>
        <v>0.79390975227272742</v>
      </c>
      <c r="M102" s="17">
        <f t="shared" si="26"/>
        <v>-0.76307500000000061</v>
      </c>
      <c r="N102" s="18">
        <f t="shared" si="27"/>
        <v>1.3874090909090864E-2</v>
      </c>
    </row>
    <row r="103" spans="1:14" ht="15.75" customHeight="1" x14ac:dyDescent="0.25">
      <c r="A103" s="13">
        <v>56</v>
      </c>
      <c r="B103" s="13">
        <f>IF(A103&lt;5,0.99,'tax and shipping settings'!$B$2)</f>
        <v>1.27</v>
      </c>
      <c r="C103" s="11">
        <f>(A103+B103)*'tax and shipping settings'!$B$1</f>
        <v>4.7820450000000001</v>
      </c>
      <c r="D103" s="13">
        <f t="shared" si="19"/>
        <v>5.8701749999999997</v>
      </c>
      <c r="E103" s="13">
        <f t="shared" si="20"/>
        <v>1.8513011250000002</v>
      </c>
      <c r="F103" s="11">
        <v>4.25</v>
      </c>
      <c r="G103" s="14">
        <f t="shared" si="21"/>
        <v>45.298523875000008</v>
      </c>
      <c r="H103" s="13">
        <f t="shared" si="22"/>
        <v>6.8315511249999998</v>
      </c>
      <c r="I103" s="11">
        <v>4.62</v>
      </c>
      <c r="J103" s="14">
        <f t="shared" si="23"/>
        <v>44.548448875000005</v>
      </c>
      <c r="K103" s="18">
        <f t="shared" si="24"/>
        <v>0.8089022120535716</v>
      </c>
      <c r="L103" s="18">
        <f t="shared" si="25"/>
        <v>0.79550801562500006</v>
      </c>
      <c r="M103" s="17">
        <f t="shared" si="26"/>
        <v>-0.75007500000000249</v>
      </c>
      <c r="N103" s="18">
        <f t="shared" si="27"/>
        <v>1.3394196428571536E-2</v>
      </c>
    </row>
    <row r="104" spans="1:14" ht="15.75" customHeight="1" x14ac:dyDescent="0.25">
      <c r="A104" s="13">
        <v>57</v>
      </c>
      <c r="B104" s="13">
        <f>IF(A104&lt;5,0.99,'tax and shipping settings'!$B$2)</f>
        <v>1.27</v>
      </c>
      <c r="C104" s="11">
        <f>(A104+B104)*'tax and shipping settings'!$B$1</f>
        <v>4.8655450000000009</v>
      </c>
      <c r="D104" s="13">
        <f t="shared" si="19"/>
        <v>5.9726749999999997</v>
      </c>
      <c r="E104" s="13">
        <f t="shared" si="20"/>
        <v>1.8783886250000004</v>
      </c>
      <c r="F104" s="11">
        <v>4.25</v>
      </c>
      <c r="G104" s="14">
        <f t="shared" si="21"/>
        <v>46.168936375000001</v>
      </c>
      <c r="H104" s="13">
        <f t="shared" si="22"/>
        <v>6.9481386249999995</v>
      </c>
      <c r="I104" s="11">
        <v>4.62</v>
      </c>
      <c r="J104" s="14">
        <f t="shared" si="23"/>
        <v>45.431861375000004</v>
      </c>
      <c r="K104" s="18">
        <f t="shared" si="24"/>
        <v>0.80998133991228072</v>
      </c>
      <c r="L104" s="18">
        <f t="shared" si="25"/>
        <v>0.79705019956140355</v>
      </c>
      <c r="M104" s="17">
        <f t="shared" si="26"/>
        <v>-0.73707499999999726</v>
      </c>
      <c r="N104" s="18">
        <f t="shared" si="27"/>
        <v>1.2931140350877168E-2</v>
      </c>
    </row>
    <row r="105" spans="1:14" ht="15.75" customHeight="1" x14ac:dyDescent="0.25">
      <c r="A105" s="13">
        <v>58</v>
      </c>
      <c r="B105" s="13">
        <f>IF(A105&lt;5,0.99,'tax and shipping settings'!$B$2)</f>
        <v>1.27</v>
      </c>
      <c r="C105" s="11">
        <f>(A105+B105)*'tax and shipping settings'!$B$1</f>
        <v>4.9490450000000008</v>
      </c>
      <c r="D105" s="13">
        <f t="shared" si="19"/>
        <v>6.0751749999999998</v>
      </c>
      <c r="E105" s="13">
        <f t="shared" si="20"/>
        <v>1.9054761250000003</v>
      </c>
      <c r="F105" s="11">
        <v>4.25</v>
      </c>
      <c r="G105" s="14">
        <f t="shared" si="21"/>
        <v>47.039348875000002</v>
      </c>
      <c r="H105" s="13">
        <f t="shared" si="22"/>
        <v>7.064726125</v>
      </c>
      <c r="I105" s="11">
        <v>4.62</v>
      </c>
      <c r="J105" s="14">
        <f t="shared" si="23"/>
        <v>46.315273875000003</v>
      </c>
      <c r="K105" s="18">
        <f t="shared" si="24"/>
        <v>0.81102325646551732</v>
      </c>
      <c r="L105" s="18">
        <f t="shared" si="25"/>
        <v>0.7985392047413794</v>
      </c>
      <c r="M105" s="17">
        <f t="shared" si="26"/>
        <v>-0.72407499999999914</v>
      </c>
      <c r="N105" s="18">
        <f t="shared" si="27"/>
        <v>1.2484051724137912E-2</v>
      </c>
    </row>
    <row r="106" spans="1:14" ht="15.75" customHeight="1" x14ac:dyDescent="0.25">
      <c r="A106" s="13">
        <v>59</v>
      </c>
      <c r="B106" s="13">
        <f>IF(A106&lt;5,0.99,'tax and shipping settings'!$B$2)</f>
        <v>1.27</v>
      </c>
      <c r="C106" s="11">
        <f>(A106+B106)*'tax and shipping settings'!$B$1</f>
        <v>5.0325450000000007</v>
      </c>
      <c r="D106" s="13">
        <f t="shared" si="19"/>
        <v>6.1776749999999998</v>
      </c>
      <c r="E106" s="13">
        <f t="shared" si="20"/>
        <v>1.9325636250000005</v>
      </c>
      <c r="F106" s="11">
        <v>4.25</v>
      </c>
      <c r="G106" s="14">
        <f t="shared" si="21"/>
        <v>47.909761375000002</v>
      </c>
      <c r="H106" s="13">
        <f t="shared" si="22"/>
        <v>7.1813136249999996</v>
      </c>
      <c r="I106" s="11">
        <v>4.62</v>
      </c>
      <c r="J106" s="14">
        <f t="shared" si="23"/>
        <v>47.198686375000001</v>
      </c>
      <c r="K106" s="18">
        <f t="shared" si="24"/>
        <v>0.81202985381355941</v>
      </c>
      <c r="L106" s="18">
        <f t="shared" si="25"/>
        <v>0.79997773516949156</v>
      </c>
      <c r="M106" s="17">
        <f t="shared" si="26"/>
        <v>-0.71107500000000101</v>
      </c>
      <c r="N106" s="18">
        <f t="shared" si="27"/>
        <v>1.2052118644067855E-2</v>
      </c>
    </row>
    <row r="107" spans="1:14" ht="15.75" customHeight="1" x14ac:dyDescent="0.25">
      <c r="A107" s="13">
        <v>60</v>
      </c>
      <c r="B107" s="13">
        <f>IF(A107&lt;5,0.99,'tax and shipping settings'!$B$2)</f>
        <v>1.27</v>
      </c>
      <c r="C107" s="11">
        <f>(A107+B107)*'tax and shipping settings'!$B$1</f>
        <v>5.1160450000000006</v>
      </c>
      <c r="D107" s="13">
        <f t="shared" si="19"/>
        <v>6.2801749999999998</v>
      </c>
      <c r="E107" s="13">
        <f t="shared" si="20"/>
        <v>1.9596511250000004</v>
      </c>
      <c r="F107" s="11">
        <v>4.25</v>
      </c>
      <c r="G107" s="14">
        <f t="shared" si="21"/>
        <v>48.780173875000003</v>
      </c>
      <c r="H107" s="13">
        <f t="shared" si="22"/>
        <v>7.2979011250000001</v>
      </c>
      <c r="I107" s="11">
        <v>4.62</v>
      </c>
      <c r="J107" s="14">
        <f t="shared" si="23"/>
        <v>48.082098875</v>
      </c>
      <c r="K107" s="18">
        <f t="shared" si="24"/>
        <v>0.81300289791666669</v>
      </c>
      <c r="L107" s="18">
        <f t="shared" si="25"/>
        <v>0.80136831458333335</v>
      </c>
      <c r="M107" s="17">
        <f t="shared" si="26"/>
        <v>-0.69807500000000289</v>
      </c>
      <c r="N107" s="18">
        <f t="shared" si="27"/>
        <v>1.1634583333333337E-2</v>
      </c>
    </row>
    <row r="108" spans="1:14" ht="15.75" customHeight="1" x14ac:dyDescent="0.25">
      <c r="A108" s="13">
        <v>61</v>
      </c>
      <c r="B108" s="13">
        <f>IF(A108&lt;5,0.99,'tax and shipping settings'!$B$2)</f>
        <v>1.27</v>
      </c>
      <c r="C108" s="11">
        <f>(A108+B108)*'tax and shipping settings'!$B$1</f>
        <v>5.1995450000000005</v>
      </c>
      <c r="D108" s="13">
        <f t="shared" si="19"/>
        <v>6.3826749999999999</v>
      </c>
      <c r="E108" s="13">
        <f t="shared" si="20"/>
        <v>1.9867386250000003</v>
      </c>
      <c r="F108" s="11">
        <v>4.25</v>
      </c>
      <c r="G108" s="14">
        <f t="shared" si="21"/>
        <v>49.650586375000003</v>
      </c>
      <c r="H108" s="13">
        <f t="shared" si="22"/>
        <v>7.4144886249999997</v>
      </c>
      <c r="I108" s="11">
        <v>4.62</v>
      </c>
      <c r="J108" s="14">
        <f t="shared" si="23"/>
        <v>48.965511375000006</v>
      </c>
      <c r="K108" s="18">
        <f t="shared" si="24"/>
        <v>0.81394403893442624</v>
      </c>
      <c r="L108" s="18">
        <f t="shared" si="25"/>
        <v>0.80271330122950824</v>
      </c>
      <c r="M108" s="17">
        <f t="shared" si="26"/>
        <v>-0.68507499999999766</v>
      </c>
      <c r="N108" s="18">
        <f t="shared" si="27"/>
        <v>1.1230737704918003E-2</v>
      </c>
    </row>
    <row r="109" spans="1:14" ht="15.75" customHeight="1" x14ac:dyDescent="0.25">
      <c r="A109" s="13">
        <v>62</v>
      </c>
      <c r="B109" s="13">
        <f>IF(A109&lt;5,0.99,'tax and shipping settings'!$B$2)</f>
        <v>1.27</v>
      </c>
      <c r="C109" s="11">
        <f>(A109+B109)*'tax and shipping settings'!$B$1</f>
        <v>5.2830450000000004</v>
      </c>
      <c r="D109" s="13">
        <f t="shared" si="19"/>
        <v>6.4851749999999999</v>
      </c>
      <c r="E109" s="13">
        <f t="shared" si="20"/>
        <v>2.013826125</v>
      </c>
      <c r="F109" s="11">
        <v>4.25</v>
      </c>
      <c r="G109" s="14">
        <f t="shared" si="21"/>
        <v>50.520998875000004</v>
      </c>
      <c r="H109" s="13">
        <f t="shared" si="22"/>
        <v>7.5310761249999993</v>
      </c>
      <c r="I109" s="11">
        <v>4.62</v>
      </c>
      <c r="J109" s="14">
        <f t="shared" si="23"/>
        <v>49.848923875000004</v>
      </c>
      <c r="K109" s="18">
        <f t="shared" si="24"/>
        <v>0.81485482056451619</v>
      </c>
      <c r="L109" s="18">
        <f t="shared" si="25"/>
        <v>0.80401490120967745</v>
      </c>
      <c r="M109" s="17">
        <f t="shared" si="26"/>
        <v>-0.67207499999999953</v>
      </c>
      <c r="N109" s="18">
        <f t="shared" si="27"/>
        <v>1.0839919354838745E-2</v>
      </c>
    </row>
    <row r="110" spans="1:14" ht="15.75" customHeight="1" x14ac:dyDescent="0.25">
      <c r="A110" s="13">
        <v>63</v>
      </c>
      <c r="B110" s="13">
        <f>IF(A110&lt;5,0.99,'tax and shipping settings'!$B$2)</f>
        <v>1.27</v>
      </c>
      <c r="C110" s="11">
        <f>(A110+B110)*'tax and shipping settings'!$B$1</f>
        <v>5.3665450000000003</v>
      </c>
      <c r="D110" s="13">
        <f t="shared" si="19"/>
        <v>6.5876749999999991</v>
      </c>
      <c r="E110" s="13">
        <f t="shared" si="20"/>
        <v>2.040913625</v>
      </c>
      <c r="F110" s="11">
        <v>4.25</v>
      </c>
      <c r="G110" s="14">
        <f t="shared" si="21"/>
        <v>51.391411374999997</v>
      </c>
      <c r="H110" s="13">
        <f t="shared" si="22"/>
        <v>7.6476636249999999</v>
      </c>
      <c r="I110" s="11">
        <v>4.62</v>
      </c>
      <c r="J110" s="14">
        <f t="shared" si="23"/>
        <v>50.732336375000003</v>
      </c>
      <c r="K110" s="18">
        <f t="shared" si="24"/>
        <v>0.81573668849206349</v>
      </c>
      <c r="L110" s="18">
        <f t="shared" si="25"/>
        <v>0.80527518055555558</v>
      </c>
      <c r="M110" s="17">
        <f t="shared" si="26"/>
        <v>-0.6590749999999943</v>
      </c>
      <c r="N110" s="18">
        <f t="shared" si="27"/>
        <v>1.0461507936507908E-2</v>
      </c>
    </row>
    <row r="111" spans="1:14" ht="15.75" customHeight="1" x14ac:dyDescent="0.25">
      <c r="A111" s="13">
        <v>64</v>
      </c>
      <c r="B111" s="13">
        <f>IF(A111&lt;5,0.99,'tax and shipping settings'!$B$2)</f>
        <v>1.27</v>
      </c>
      <c r="C111" s="11">
        <f>(A111+B111)*'tax and shipping settings'!$B$1</f>
        <v>5.4500450000000003</v>
      </c>
      <c r="D111" s="13">
        <f t="shared" si="19"/>
        <v>6.6901749999999991</v>
      </c>
      <c r="E111" s="13">
        <f t="shared" si="20"/>
        <v>2.0680011249999999</v>
      </c>
      <c r="F111" s="11">
        <v>4.25</v>
      </c>
      <c r="G111" s="14">
        <f t="shared" si="21"/>
        <v>52.261823874999997</v>
      </c>
      <c r="H111" s="13">
        <f t="shared" si="22"/>
        <v>7.7642511249999995</v>
      </c>
      <c r="I111" s="11">
        <v>4.62</v>
      </c>
      <c r="J111" s="14">
        <f t="shared" si="23"/>
        <v>51.615748875000001</v>
      </c>
      <c r="K111" s="18">
        <f t="shared" si="24"/>
        <v>0.81659099804687496</v>
      </c>
      <c r="L111" s="18">
        <f t="shared" si="25"/>
        <v>0.80649607617187502</v>
      </c>
      <c r="M111" s="17">
        <f t="shared" si="26"/>
        <v>-0.64607499999999618</v>
      </c>
      <c r="N111" s="18">
        <f t="shared" si="27"/>
        <v>1.009492187499994E-2</v>
      </c>
    </row>
    <row r="112" spans="1:14" ht="15.75" customHeight="1" x14ac:dyDescent="0.25">
      <c r="A112" s="11">
        <v>65</v>
      </c>
      <c r="B112" s="11">
        <f>IF(A112&lt;5,0.99,'tax and shipping settings'!$B$2)</f>
        <v>1.27</v>
      </c>
      <c r="C112" s="11">
        <f>(A112+B112)*'tax and shipping settings'!$B$1</f>
        <v>5.5335450000000002</v>
      </c>
      <c r="D112" s="13">
        <f t="shared" si="19"/>
        <v>6.7926749999999991</v>
      </c>
      <c r="E112" s="13">
        <f t="shared" si="20"/>
        <v>2.0950886249999998</v>
      </c>
      <c r="F112" s="11">
        <v>4.25</v>
      </c>
      <c r="G112" s="14">
        <f t="shared" si="21"/>
        <v>53.132236374999991</v>
      </c>
      <c r="H112" s="13">
        <f t="shared" si="22"/>
        <v>7.880838625</v>
      </c>
      <c r="I112" s="11">
        <v>4.62</v>
      </c>
      <c r="J112" s="14">
        <f t="shared" si="23"/>
        <v>52.499161375</v>
      </c>
      <c r="K112" s="18">
        <f t="shared" si="24"/>
        <v>0.81741902115384601</v>
      </c>
      <c r="L112" s="18">
        <f t="shared" si="25"/>
        <v>0.80767940576923081</v>
      </c>
      <c r="M112" s="17">
        <f t="shared" si="26"/>
        <v>-0.63307499999999095</v>
      </c>
      <c r="N112" s="18">
        <f t="shared" si="27"/>
        <v>9.7396153846152078E-3</v>
      </c>
    </row>
    <row r="113" spans="1:14" ht="15.75" customHeight="1" x14ac:dyDescent="0.25">
      <c r="A113" s="13">
        <v>66</v>
      </c>
      <c r="B113" s="13">
        <f>IF(A113&lt;5,0.99,'tax and shipping settings'!$B$2)</f>
        <v>1.27</v>
      </c>
      <c r="C113" s="11">
        <f>(A113+B113)*'tax and shipping settings'!$B$1</f>
        <v>5.6170450000000001</v>
      </c>
      <c r="D113" s="13">
        <f t="shared" si="19"/>
        <v>6.8951749999999992</v>
      </c>
      <c r="E113" s="13">
        <f t="shared" si="20"/>
        <v>2.1221761250000002</v>
      </c>
      <c r="F113" s="11">
        <v>4.25</v>
      </c>
      <c r="G113" s="14">
        <f t="shared" si="21"/>
        <v>54.002648874999991</v>
      </c>
      <c r="H113" s="13">
        <f t="shared" si="22"/>
        <v>7.9974261250000005</v>
      </c>
      <c r="I113" s="11">
        <v>4.62</v>
      </c>
      <c r="J113" s="14">
        <f t="shared" si="23"/>
        <v>53.382573874999999</v>
      </c>
      <c r="K113" s="18">
        <f t="shared" si="24"/>
        <v>0.81822195265151498</v>
      </c>
      <c r="L113" s="18">
        <f t="shared" si="25"/>
        <v>0.80882687689393939</v>
      </c>
      <c r="M113" s="17">
        <f t="shared" si="26"/>
        <v>-0.62007499999999283</v>
      </c>
      <c r="N113" s="18">
        <f t="shared" si="27"/>
        <v>9.3950757575755883E-3</v>
      </c>
    </row>
    <row r="114" spans="1:14" ht="15.75" customHeight="1" x14ac:dyDescent="0.25">
      <c r="A114" s="13">
        <v>67</v>
      </c>
      <c r="B114" s="13">
        <f>IF(A114&lt;5,0.99,'tax and shipping settings'!$B$2)</f>
        <v>1.27</v>
      </c>
      <c r="C114" s="11">
        <f>(A114+B114)*'tax and shipping settings'!$B$1</f>
        <v>5.700545</v>
      </c>
      <c r="D114" s="13">
        <f t="shared" si="19"/>
        <v>6.9976749999999992</v>
      </c>
      <c r="E114" s="13">
        <f t="shared" si="20"/>
        <v>2.1492636250000001</v>
      </c>
      <c r="F114" s="11">
        <v>4.25</v>
      </c>
      <c r="G114" s="14">
        <f t="shared" si="21"/>
        <v>54.873061374999992</v>
      </c>
      <c r="H114" s="13">
        <f t="shared" si="22"/>
        <v>8.1140136250000001</v>
      </c>
      <c r="I114" s="11">
        <v>4.62</v>
      </c>
      <c r="J114" s="14">
        <f t="shared" si="23"/>
        <v>54.265986375000004</v>
      </c>
      <c r="K114" s="18">
        <f t="shared" si="24"/>
        <v>0.81900091604477598</v>
      </c>
      <c r="L114" s="18">
        <f t="shared" si="25"/>
        <v>0.8099400951492538</v>
      </c>
      <c r="M114" s="17">
        <f t="shared" si="26"/>
        <v>-0.6070749999999876</v>
      </c>
      <c r="N114" s="18">
        <f t="shared" si="27"/>
        <v>9.0608208955221814E-3</v>
      </c>
    </row>
    <row r="115" spans="1:14" ht="15.75" customHeight="1" x14ac:dyDescent="0.25">
      <c r="A115" s="13">
        <v>68</v>
      </c>
      <c r="B115" s="13">
        <f>IF(A115&lt;5,0.99,'tax and shipping settings'!$B$2)</f>
        <v>1.27</v>
      </c>
      <c r="C115" s="11">
        <f>(A115+B115)*'tax and shipping settings'!$B$1</f>
        <v>5.7840449999999999</v>
      </c>
      <c r="D115" s="13">
        <f t="shared" si="19"/>
        <v>7.1001749999999992</v>
      </c>
      <c r="E115" s="13">
        <f t="shared" si="20"/>
        <v>2.1763511250000001</v>
      </c>
      <c r="F115" s="11">
        <v>4.25</v>
      </c>
      <c r="G115" s="14">
        <f t="shared" si="21"/>
        <v>55.743473874999992</v>
      </c>
      <c r="H115" s="13">
        <f t="shared" si="22"/>
        <v>8.2306011249999997</v>
      </c>
      <c r="I115" s="11">
        <v>4.62</v>
      </c>
      <c r="J115" s="14">
        <f t="shared" si="23"/>
        <v>55.149398875000003</v>
      </c>
      <c r="K115" s="18">
        <f t="shared" si="24"/>
        <v>0.81975696874999993</v>
      </c>
      <c r="L115" s="18">
        <f t="shared" si="25"/>
        <v>0.81102057169117647</v>
      </c>
      <c r="M115" s="17">
        <f t="shared" si="26"/>
        <v>-0.59407499999998947</v>
      </c>
      <c r="N115" s="18">
        <f t="shared" si="27"/>
        <v>8.736397058823453E-3</v>
      </c>
    </row>
    <row r="116" spans="1:14" ht="15.75" customHeight="1" x14ac:dyDescent="0.25">
      <c r="A116" s="13">
        <v>69</v>
      </c>
      <c r="B116" s="13">
        <f>IF(A116&lt;5,0.99,'tax and shipping settings'!$B$2)</f>
        <v>1.27</v>
      </c>
      <c r="C116" s="11">
        <f>(A116+B116)*'tax and shipping settings'!$B$1</f>
        <v>5.8675449999999998</v>
      </c>
      <c r="D116" s="13">
        <f t="shared" si="19"/>
        <v>7.2026749999999993</v>
      </c>
      <c r="E116" s="13">
        <f t="shared" si="20"/>
        <v>2.2034386249999995</v>
      </c>
      <c r="F116" s="11">
        <v>4.25</v>
      </c>
      <c r="G116" s="14">
        <f t="shared" si="21"/>
        <v>56.613886375</v>
      </c>
      <c r="H116" s="13">
        <f t="shared" si="22"/>
        <v>8.3471886249999994</v>
      </c>
      <c r="I116" s="11">
        <v>4.62</v>
      </c>
      <c r="J116" s="14">
        <f t="shared" si="23"/>
        <v>56.032811375000001</v>
      </c>
      <c r="K116" s="18">
        <f t="shared" si="24"/>
        <v>0.82049110688405802</v>
      </c>
      <c r="L116" s="18">
        <f t="shared" si="25"/>
        <v>0.81206973007246375</v>
      </c>
      <c r="M116" s="17">
        <f t="shared" si="26"/>
        <v>-0.58107499999999845</v>
      </c>
      <c r="N116" s="18">
        <f t="shared" si="27"/>
        <v>8.4213768115942722E-3</v>
      </c>
    </row>
    <row r="117" spans="1:14" ht="15.75" customHeight="1" x14ac:dyDescent="0.25">
      <c r="A117" s="13">
        <v>70</v>
      </c>
      <c r="B117" s="13">
        <f>IF(A117&lt;5,0.99,'tax and shipping settings'!$B$2)</f>
        <v>1.27</v>
      </c>
      <c r="C117" s="11">
        <f>(A117+B117)*'tax and shipping settings'!$B$1</f>
        <v>5.9510449999999997</v>
      </c>
      <c r="D117" s="13">
        <f t="shared" si="19"/>
        <v>7.3051749999999993</v>
      </c>
      <c r="E117" s="13">
        <f t="shared" si="20"/>
        <v>2.2305261249999999</v>
      </c>
      <c r="F117" s="11">
        <v>4.25</v>
      </c>
      <c r="G117" s="14">
        <f t="shared" si="21"/>
        <v>57.484298875</v>
      </c>
      <c r="H117" s="13">
        <f t="shared" si="22"/>
        <v>8.463776124999999</v>
      </c>
      <c r="I117" s="11">
        <v>4.62</v>
      </c>
      <c r="J117" s="14">
        <f t="shared" si="23"/>
        <v>56.916223875000007</v>
      </c>
      <c r="K117" s="18">
        <f t="shared" si="24"/>
        <v>0.8212042696428572</v>
      </c>
      <c r="L117" s="18">
        <f t="shared" si="25"/>
        <v>0.81308891250000015</v>
      </c>
      <c r="M117" s="17">
        <f t="shared" si="26"/>
        <v>-0.56807499999999322</v>
      </c>
      <c r="N117" s="18">
        <f t="shared" si="27"/>
        <v>8.1153571428570492E-3</v>
      </c>
    </row>
    <row r="118" spans="1:14" ht="15.75" customHeight="1" x14ac:dyDescent="0.25">
      <c r="A118" s="13">
        <v>71</v>
      </c>
      <c r="B118" s="13">
        <f>IF(A118&lt;5,0.99,'tax and shipping settings'!$B$2)</f>
        <v>1.27</v>
      </c>
      <c r="C118" s="11">
        <f>(A118+B118)*'tax and shipping settings'!$B$1</f>
        <v>6.0345449999999996</v>
      </c>
      <c r="D118" s="13">
        <f t="shared" si="19"/>
        <v>7.4076749999999993</v>
      </c>
      <c r="E118" s="13">
        <f t="shared" si="20"/>
        <v>2.2576136249999998</v>
      </c>
      <c r="F118" s="11">
        <v>4.25</v>
      </c>
      <c r="G118" s="14">
        <f t="shared" si="21"/>
        <v>58.354711375000001</v>
      </c>
      <c r="H118" s="13">
        <f t="shared" si="22"/>
        <v>8.5803636250000004</v>
      </c>
      <c r="I118" s="11">
        <v>4.62</v>
      </c>
      <c r="J118" s="14">
        <f t="shared" si="23"/>
        <v>57.799636374999999</v>
      </c>
      <c r="K118" s="18">
        <f t="shared" si="24"/>
        <v>0.8218973433098592</v>
      </c>
      <c r="L118" s="18">
        <f t="shared" si="25"/>
        <v>0.81407938556338022</v>
      </c>
      <c r="M118" s="17">
        <f t="shared" si="26"/>
        <v>-0.55507500000000221</v>
      </c>
      <c r="N118" s="18">
        <f t="shared" si="27"/>
        <v>7.8179577464789762E-3</v>
      </c>
    </row>
    <row r="119" spans="1:14" ht="15.75" customHeight="1" x14ac:dyDescent="0.25">
      <c r="A119" s="13">
        <v>72</v>
      </c>
      <c r="B119" s="13">
        <f>IF(A119&lt;5,0.99,'tax and shipping settings'!$B$2)</f>
        <v>1.27</v>
      </c>
      <c r="C119" s="11">
        <f>(A119+B119)*'tax and shipping settings'!$B$1</f>
        <v>6.1180450000000004</v>
      </c>
      <c r="D119" s="13">
        <f t="shared" si="19"/>
        <v>7.5101749999999994</v>
      </c>
      <c r="E119" s="13">
        <f t="shared" si="20"/>
        <v>2.2847011249999998</v>
      </c>
      <c r="F119" s="11">
        <v>4.25</v>
      </c>
      <c r="G119" s="14">
        <f t="shared" si="21"/>
        <v>59.225123874999994</v>
      </c>
      <c r="H119" s="13">
        <f t="shared" si="22"/>
        <v>8.696951125</v>
      </c>
      <c r="I119" s="11">
        <v>4.62</v>
      </c>
      <c r="J119" s="14">
        <f t="shared" si="23"/>
        <v>58.683048875000004</v>
      </c>
      <c r="K119" s="18">
        <f t="shared" si="24"/>
        <v>0.82257116493055549</v>
      </c>
      <c r="L119" s="18">
        <f t="shared" si="25"/>
        <v>0.81504234548611121</v>
      </c>
      <c r="M119" s="17">
        <f t="shared" si="26"/>
        <v>-0.54207499999998987</v>
      </c>
      <c r="N119" s="18">
        <f t="shared" si="27"/>
        <v>7.5288194444442791E-3</v>
      </c>
    </row>
    <row r="120" spans="1:14" ht="15.75" customHeight="1" x14ac:dyDescent="0.25">
      <c r="A120" s="13">
        <v>73</v>
      </c>
      <c r="B120" s="13">
        <f>IF(A120&lt;5,0.99,'tax and shipping settings'!$B$2)</f>
        <v>1.27</v>
      </c>
      <c r="C120" s="11">
        <f>(A120+B120)*'tax and shipping settings'!$B$1</f>
        <v>6.2015450000000003</v>
      </c>
      <c r="D120" s="13">
        <f t="shared" si="19"/>
        <v>7.6126749999999994</v>
      </c>
      <c r="E120" s="13">
        <f t="shared" si="20"/>
        <v>2.3117886249999997</v>
      </c>
      <c r="F120" s="11">
        <v>4.25</v>
      </c>
      <c r="G120" s="14">
        <f t="shared" si="21"/>
        <v>60.095536374999995</v>
      </c>
      <c r="H120" s="13">
        <f t="shared" si="22"/>
        <v>8.8135386249999996</v>
      </c>
      <c r="I120" s="11">
        <v>4.62</v>
      </c>
      <c r="J120" s="14">
        <f t="shared" si="23"/>
        <v>59.566461374999996</v>
      </c>
      <c r="K120" s="18">
        <f t="shared" si="24"/>
        <v>0.82322652568493149</v>
      </c>
      <c r="L120" s="18">
        <f t="shared" si="25"/>
        <v>0.81597892294520546</v>
      </c>
      <c r="M120" s="17">
        <f t="shared" si="26"/>
        <v>-0.52907499999999885</v>
      </c>
      <c r="N120" s="18">
        <f t="shared" si="27"/>
        <v>7.2476027397260223E-3</v>
      </c>
    </row>
    <row r="121" spans="1:14" ht="15.75" customHeight="1" x14ac:dyDescent="0.25">
      <c r="A121" s="13">
        <v>74</v>
      </c>
      <c r="B121" s="13">
        <f>IF(A121&lt;5,0.99,'tax and shipping settings'!$B$2)</f>
        <v>1.27</v>
      </c>
      <c r="C121" s="11">
        <f>(A121+B121)*'tax and shipping settings'!$B$1</f>
        <v>6.2850450000000002</v>
      </c>
      <c r="D121" s="13">
        <f t="shared" si="19"/>
        <v>7.7151749999999995</v>
      </c>
      <c r="E121" s="13">
        <f t="shared" si="20"/>
        <v>2.3388761249999996</v>
      </c>
      <c r="F121" s="11">
        <v>4.25</v>
      </c>
      <c r="G121" s="14">
        <f t="shared" si="21"/>
        <v>60.965948874999995</v>
      </c>
      <c r="H121" s="13">
        <f t="shared" si="22"/>
        <v>8.9301261249999992</v>
      </c>
      <c r="I121" s="11">
        <v>4.62</v>
      </c>
      <c r="J121" s="14">
        <f t="shared" si="23"/>
        <v>60.449873875000002</v>
      </c>
      <c r="K121" s="18">
        <f t="shared" si="24"/>
        <v>0.82386417398648637</v>
      </c>
      <c r="L121" s="18">
        <f t="shared" si="25"/>
        <v>0.81689018749999998</v>
      </c>
      <c r="M121" s="17">
        <f t="shared" si="26"/>
        <v>-0.51607499999999362</v>
      </c>
      <c r="N121" s="18">
        <f t="shared" si="27"/>
        <v>6.9739864864863943E-3</v>
      </c>
    </row>
    <row r="122" spans="1:14" ht="15.75" customHeight="1" x14ac:dyDescent="0.25">
      <c r="A122" s="13">
        <v>75</v>
      </c>
      <c r="B122" s="13">
        <f>IF(A122&lt;5,0.99,'tax and shipping settings'!$B$2)</f>
        <v>1.27</v>
      </c>
      <c r="C122" s="11">
        <f>(A122+B122)*'tax and shipping settings'!$B$1</f>
        <v>6.3685450000000001</v>
      </c>
      <c r="D122" s="13">
        <f t="shared" si="19"/>
        <v>7.8176749999999995</v>
      </c>
      <c r="E122" s="13">
        <f t="shared" si="20"/>
        <v>2.3659636249999996</v>
      </c>
      <c r="F122" s="11">
        <v>4.25</v>
      </c>
      <c r="G122" s="14">
        <f t="shared" si="21"/>
        <v>61.836361374999996</v>
      </c>
      <c r="H122" s="13">
        <f t="shared" si="22"/>
        <v>9.0467136249999989</v>
      </c>
      <c r="I122" s="11">
        <v>4.62</v>
      </c>
      <c r="J122" s="14">
        <f t="shared" si="23"/>
        <v>61.333286375000007</v>
      </c>
      <c r="K122" s="18">
        <f t="shared" si="24"/>
        <v>0.82448481833333331</v>
      </c>
      <c r="L122" s="18">
        <f t="shared" si="25"/>
        <v>0.81777715166666676</v>
      </c>
      <c r="M122" s="17">
        <f t="shared" si="26"/>
        <v>-0.50307499999998839</v>
      </c>
      <c r="N122" s="18">
        <f t="shared" si="27"/>
        <v>6.7076666666665563E-3</v>
      </c>
    </row>
    <row r="123" spans="1:14" ht="15.75" customHeight="1" x14ac:dyDescent="0.25">
      <c r="A123" s="13">
        <v>76</v>
      </c>
      <c r="B123" s="13">
        <f>IF(A123&lt;5,0.99,'tax and shipping settings'!$B$2)</f>
        <v>1.27</v>
      </c>
      <c r="C123" s="11">
        <f>(A123+B123)*'tax and shipping settings'!$B$1</f>
        <v>6.452045</v>
      </c>
      <c r="D123" s="13">
        <f t="shared" si="19"/>
        <v>7.9201749999999995</v>
      </c>
      <c r="E123" s="13">
        <f t="shared" si="20"/>
        <v>2.3930511249999999</v>
      </c>
      <c r="F123" s="11">
        <v>4.25</v>
      </c>
      <c r="G123" s="14">
        <f t="shared" si="21"/>
        <v>62.706773874999996</v>
      </c>
      <c r="H123" s="13">
        <f t="shared" si="22"/>
        <v>9.1633011250000003</v>
      </c>
      <c r="I123" s="11">
        <v>4.62</v>
      </c>
      <c r="J123" s="14">
        <f t="shared" si="23"/>
        <v>62.216698874999999</v>
      </c>
      <c r="K123" s="18">
        <f t="shared" si="24"/>
        <v>0.82508912993421046</v>
      </c>
      <c r="L123" s="18">
        <f t="shared" si="25"/>
        <v>0.81864077467105256</v>
      </c>
      <c r="M123" s="17">
        <f t="shared" si="26"/>
        <v>-0.49007499999999737</v>
      </c>
      <c r="N123" s="18">
        <f t="shared" si="27"/>
        <v>6.4483552631579011E-3</v>
      </c>
    </row>
    <row r="124" spans="1:14" ht="15.75" customHeight="1" x14ac:dyDescent="0.25">
      <c r="A124" s="13">
        <v>77</v>
      </c>
      <c r="B124" s="13">
        <f>IF(A124&lt;5,0.99,'tax and shipping settings'!$B$2)</f>
        <v>1.27</v>
      </c>
      <c r="C124" s="11">
        <f>(A124+B124)*'tax and shipping settings'!$B$1</f>
        <v>6.5355449999999999</v>
      </c>
      <c r="D124" s="13">
        <f t="shared" si="19"/>
        <v>8.0226749999999996</v>
      </c>
      <c r="E124" s="13">
        <f t="shared" si="20"/>
        <v>2.4201386249999999</v>
      </c>
      <c r="F124" s="11">
        <v>4.25</v>
      </c>
      <c r="G124" s="14">
        <f t="shared" si="21"/>
        <v>63.577186374999997</v>
      </c>
      <c r="H124" s="13">
        <f t="shared" si="22"/>
        <v>9.2798886249999999</v>
      </c>
      <c r="I124" s="11">
        <v>4.62</v>
      </c>
      <c r="J124" s="14">
        <f t="shared" si="23"/>
        <v>63.100111375000004</v>
      </c>
      <c r="K124" s="18">
        <f t="shared" si="24"/>
        <v>0.82567774512987013</v>
      </c>
      <c r="L124" s="18">
        <f t="shared" si="25"/>
        <v>0.81948196590909095</v>
      </c>
      <c r="M124" s="17">
        <f t="shared" si="26"/>
        <v>-0.47707499999999214</v>
      </c>
      <c r="N124" s="18">
        <f t="shared" si="27"/>
        <v>6.1957792207791851E-3</v>
      </c>
    </row>
    <row r="125" spans="1:14" ht="15.75" customHeight="1" x14ac:dyDescent="0.25">
      <c r="A125" s="13">
        <v>78</v>
      </c>
      <c r="B125" s="13">
        <f>IF(A125&lt;5,0.99,'tax and shipping settings'!$B$2)</f>
        <v>1.27</v>
      </c>
      <c r="C125" s="11">
        <f>(A125+B125)*'tax and shipping settings'!$B$1</f>
        <v>6.6190449999999998</v>
      </c>
      <c r="D125" s="13">
        <f t="shared" si="19"/>
        <v>8.1251749999999987</v>
      </c>
      <c r="E125" s="13">
        <f t="shared" si="20"/>
        <v>2.4472261249999998</v>
      </c>
      <c r="F125" s="11">
        <v>4.25</v>
      </c>
      <c r="G125" s="14">
        <f t="shared" si="21"/>
        <v>64.447598874999997</v>
      </c>
      <c r="H125" s="13">
        <f t="shared" si="22"/>
        <v>9.3964761249999995</v>
      </c>
      <c r="I125" s="11">
        <v>4.62</v>
      </c>
      <c r="J125" s="14">
        <f t="shared" si="23"/>
        <v>63.98352387500001</v>
      </c>
      <c r="K125" s="18">
        <f t="shared" si="24"/>
        <v>0.82625126762820511</v>
      </c>
      <c r="L125" s="18">
        <f t="shared" si="25"/>
        <v>0.82030158814102572</v>
      </c>
      <c r="M125" s="17">
        <f t="shared" si="26"/>
        <v>-0.46407499999998691</v>
      </c>
      <c r="N125" s="18">
        <f t="shared" si="27"/>
        <v>5.9496794871793934E-3</v>
      </c>
    </row>
    <row r="126" spans="1:14" ht="15.75" customHeight="1" x14ac:dyDescent="0.25">
      <c r="A126" s="13">
        <v>79</v>
      </c>
      <c r="B126" s="13">
        <f>IF(A126&lt;5,0.99,'tax and shipping settings'!$B$2)</f>
        <v>1.27</v>
      </c>
      <c r="C126" s="11">
        <f>(A126+B126)*'tax and shipping settings'!$B$1</f>
        <v>6.7025449999999998</v>
      </c>
      <c r="D126" s="13">
        <f t="shared" si="19"/>
        <v>8.2276749999999996</v>
      </c>
      <c r="E126" s="13">
        <f t="shared" si="20"/>
        <v>2.4743136249999997</v>
      </c>
      <c r="F126" s="11">
        <v>4.25</v>
      </c>
      <c r="G126" s="14">
        <f t="shared" si="21"/>
        <v>65.318011374999998</v>
      </c>
      <c r="H126" s="13">
        <f t="shared" si="22"/>
        <v>9.5130636250000009</v>
      </c>
      <c r="I126" s="11">
        <v>4.62</v>
      </c>
      <c r="J126" s="14">
        <f t="shared" si="23"/>
        <v>64.866936374999995</v>
      </c>
      <c r="K126" s="18">
        <f t="shared" si="24"/>
        <v>0.8268102705696202</v>
      </c>
      <c r="L126" s="18">
        <f t="shared" si="25"/>
        <v>0.82110046044303786</v>
      </c>
      <c r="M126" s="17">
        <f t="shared" si="26"/>
        <v>-0.451075000000003</v>
      </c>
      <c r="N126" s="18">
        <f t="shared" si="27"/>
        <v>5.7098101265823376E-3</v>
      </c>
    </row>
    <row r="127" spans="1:14" ht="15.75" customHeight="1" x14ac:dyDescent="0.25">
      <c r="A127" s="13">
        <v>80</v>
      </c>
      <c r="B127" s="13">
        <f>IF(A127&lt;5,0.99,'tax and shipping settings'!$B$2)</f>
        <v>1.27</v>
      </c>
      <c r="C127" s="11">
        <f>(A127+B127)*'tax and shipping settings'!$B$1</f>
        <v>6.7860449999999997</v>
      </c>
      <c r="D127" s="13">
        <f t="shared" si="19"/>
        <v>8.3301749999999988</v>
      </c>
      <c r="E127" s="13">
        <f t="shared" si="20"/>
        <v>2.5014011249999997</v>
      </c>
      <c r="F127" s="11">
        <v>4.25</v>
      </c>
      <c r="G127" s="14">
        <f t="shared" si="21"/>
        <v>66.188423874999998</v>
      </c>
      <c r="H127" s="13">
        <f t="shared" si="22"/>
        <v>9.6296511250000005</v>
      </c>
      <c r="I127" s="11">
        <v>4.62</v>
      </c>
      <c r="J127" s="14">
        <f t="shared" si="23"/>
        <v>65.750348875</v>
      </c>
      <c r="K127" s="18">
        <f t="shared" si="24"/>
        <v>0.8273552984375</v>
      </c>
      <c r="L127" s="18">
        <f t="shared" si="25"/>
        <v>0.82187936093750003</v>
      </c>
      <c r="M127" s="17">
        <f t="shared" si="26"/>
        <v>-0.43807499999999777</v>
      </c>
      <c r="N127" s="18">
        <f t="shared" si="27"/>
        <v>5.4759374999999721E-3</v>
      </c>
    </row>
    <row r="128" spans="1:14" ht="15.75" customHeight="1" x14ac:dyDescent="0.25">
      <c r="A128" s="13">
        <v>81</v>
      </c>
      <c r="B128" s="13">
        <f>IF(A128&lt;5,0.99,'tax and shipping settings'!$B$2)</f>
        <v>1.27</v>
      </c>
      <c r="C128" s="11">
        <f>(A128+B128)*'tax and shipping settings'!$B$1</f>
        <v>6.8695450000000005</v>
      </c>
      <c r="D128" s="13">
        <f t="shared" si="19"/>
        <v>8.4326749999999997</v>
      </c>
      <c r="E128" s="13">
        <f t="shared" si="20"/>
        <v>2.528488625</v>
      </c>
      <c r="F128" s="11">
        <v>4.25</v>
      </c>
      <c r="G128" s="14">
        <f t="shared" si="21"/>
        <v>67.058836374999998</v>
      </c>
      <c r="H128" s="13">
        <f t="shared" si="22"/>
        <v>9.7462386250000002</v>
      </c>
      <c r="I128" s="11">
        <v>4.62</v>
      </c>
      <c r="J128" s="14">
        <f t="shared" si="23"/>
        <v>66.633761374999992</v>
      </c>
      <c r="K128" s="18">
        <f t="shared" si="24"/>
        <v>0.82788686882716045</v>
      </c>
      <c r="L128" s="18">
        <f t="shared" si="25"/>
        <v>0.82263902932098754</v>
      </c>
      <c r="M128" s="17">
        <f t="shared" si="26"/>
        <v>-0.42507500000000675</v>
      </c>
      <c r="N128" s="18">
        <f t="shared" si="27"/>
        <v>5.2478395061729133E-3</v>
      </c>
    </row>
    <row r="129" spans="1:14" ht="15.75" customHeight="1" x14ac:dyDescent="0.25">
      <c r="A129" s="13">
        <v>82</v>
      </c>
      <c r="B129" s="13">
        <f>IF(A129&lt;5,0.99,'tax and shipping settings'!$B$2)</f>
        <v>1.27</v>
      </c>
      <c r="C129" s="11">
        <f>(A129+B129)*'tax and shipping settings'!$B$1</f>
        <v>6.9530450000000004</v>
      </c>
      <c r="D129" s="13">
        <f t="shared" si="19"/>
        <v>8.5351749999999988</v>
      </c>
      <c r="E129" s="13">
        <f t="shared" si="20"/>
        <v>2.555576125</v>
      </c>
      <c r="F129" s="11">
        <v>4.25</v>
      </c>
      <c r="G129" s="14">
        <f t="shared" si="21"/>
        <v>67.929248874999999</v>
      </c>
      <c r="H129" s="13">
        <f t="shared" si="22"/>
        <v>9.8628261249999998</v>
      </c>
      <c r="I129" s="11">
        <v>4.62</v>
      </c>
      <c r="J129" s="14">
        <f t="shared" si="23"/>
        <v>67.517173874999997</v>
      </c>
      <c r="K129" s="18">
        <f t="shared" si="24"/>
        <v>0.8284054740853658</v>
      </c>
      <c r="L129" s="18">
        <f t="shared" si="25"/>
        <v>0.82338016920731705</v>
      </c>
      <c r="M129" s="17">
        <f t="shared" si="26"/>
        <v>-0.41207500000000152</v>
      </c>
      <c r="N129" s="18">
        <f t="shared" si="27"/>
        <v>5.025304878048753E-3</v>
      </c>
    </row>
    <row r="130" spans="1:14" ht="15.75" customHeight="1" x14ac:dyDescent="0.25">
      <c r="A130" s="13">
        <v>83</v>
      </c>
      <c r="B130" s="13">
        <f>IF(A130&lt;5,0.99,'tax and shipping settings'!$B$2)</f>
        <v>1.27</v>
      </c>
      <c r="C130" s="11">
        <f>(A130+B130)*'tax and shipping settings'!$B$1</f>
        <v>7.0365450000000003</v>
      </c>
      <c r="D130" s="13">
        <f t="shared" si="19"/>
        <v>8.6376749999999998</v>
      </c>
      <c r="E130" s="13">
        <f t="shared" si="20"/>
        <v>2.5826636249999999</v>
      </c>
      <c r="F130" s="11">
        <v>4.25</v>
      </c>
      <c r="G130" s="14">
        <f t="shared" si="21"/>
        <v>68.799661374999999</v>
      </c>
      <c r="H130" s="13">
        <f t="shared" si="22"/>
        <v>9.9794136249999994</v>
      </c>
      <c r="I130" s="11">
        <v>4.62</v>
      </c>
      <c r="J130" s="14">
        <f t="shared" si="23"/>
        <v>68.400586374999989</v>
      </c>
      <c r="K130" s="18">
        <f t="shared" si="24"/>
        <v>0.82891158283132527</v>
      </c>
      <c r="L130" s="18">
        <f t="shared" si="25"/>
        <v>0.82410345030120469</v>
      </c>
      <c r="M130" s="17">
        <f t="shared" si="26"/>
        <v>-0.3990750000000105</v>
      </c>
      <c r="N130" s="18">
        <f t="shared" si="27"/>
        <v>4.8081325301205791E-3</v>
      </c>
    </row>
    <row r="131" spans="1:14" ht="15.75" customHeight="1" x14ac:dyDescent="0.25">
      <c r="A131" s="13">
        <v>84</v>
      </c>
      <c r="B131" s="13">
        <f>IF(A131&lt;5,0.99,'tax and shipping settings'!$B$2)</f>
        <v>1.27</v>
      </c>
      <c r="C131" s="11">
        <f>(A131+B131)*'tax and shipping settings'!$B$1</f>
        <v>7.1200450000000002</v>
      </c>
      <c r="D131" s="13">
        <f t="shared" si="19"/>
        <v>8.7401749999999989</v>
      </c>
      <c r="E131" s="13">
        <f t="shared" si="20"/>
        <v>2.6097511249999998</v>
      </c>
      <c r="F131" s="11">
        <v>4.25</v>
      </c>
      <c r="G131" s="14">
        <f t="shared" si="21"/>
        <v>69.670073875</v>
      </c>
      <c r="H131" s="13">
        <f t="shared" si="22"/>
        <v>10.096001125000001</v>
      </c>
      <c r="I131" s="11">
        <v>4.62</v>
      </c>
      <c r="J131" s="14">
        <f t="shared" si="23"/>
        <v>69.283998874999995</v>
      </c>
      <c r="K131" s="18">
        <f t="shared" si="24"/>
        <v>0.8294056413690476</v>
      </c>
      <c r="L131" s="18">
        <f t="shared" si="25"/>
        <v>0.82480951041666661</v>
      </c>
      <c r="M131" s="17">
        <f t="shared" si="26"/>
        <v>-0.38607500000000528</v>
      </c>
      <c r="N131" s="18">
        <f t="shared" si="27"/>
        <v>4.5961309523809835E-3</v>
      </c>
    </row>
    <row r="132" spans="1:14" ht="15.75" customHeight="1" x14ac:dyDescent="0.25">
      <c r="A132" s="13">
        <v>85</v>
      </c>
      <c r="B132" s="13">
        <f>IF(A132&lt;5,0.99,'tax and shipping settings'!$B$2)</f>
        <v>1.27</v>
      </c>
      <c r="C132" s="11">
        <f>(A132+B132)*'tax and shipping settings'!$B$1</f>
        <v>7.2035450000000001</v>
      </c>
      <c r="D132" s="13">
        <f t="shared" si="19"/>
        <v>8.8426749999999998</v>
      </c>
      <c r="E132" s="13">
        <f t="shared" si="20"/>
        <v>2.6368386249999998</v>
      </c>
      <c r="F132" s="11">
        <v>4.25</v>
      </c>
      <c r="G132" s="14">
        <f t="shared" si="21"/>
        <v>70.540486375</v>
      </c>
      <c r="H132" s="13">
        <f t="shared" si="22"/>
        <v>10.212588625</v>
      </c>
      <c r="I132" s="11">
        <v>4.62</v>
      </c>
      <c r="J132" s="14">
        <f t="shared" si="23"/>
        <v>70.167411375</v>
      </c>
      <c r="K132" s="18">
        <f t="shared" si="24"/>
        <v>0.82988807500000006</v>
      </c>
      <c r="L132" s="18">
        <f t="shared" si="25"/>
        <v>0.82549895735294121</v>
      </c>
      <c r="M132" s="17">
        <f t="shared" si="26"/>
        <v>-0.37307500000000005</v>
      </c>
      <c r="N132" s="18">
        <f t="shared" si="27"/>
        <v>4.3891176470588489E-3</v>
      </c>
    </row>
    <row r="133" spans="1:14" ht="15.75" customHeight="1" x14ac:dyDescent="0.25">
      <c r="A133" s="13">
        <v>86</v>
      </c>
      <c r="B133" s="13">
        <f>IF(A133&lt;5,0.99,'tax and shipping settings'!$B$2)</f>
        <v>1.27</v>
      </c>
      <c r="C133" s="11">
        <f>(A133+B133)*'tax and shipping settings'!$B$1</f>
        <v>7.287045</v>
      </c>
      <c r="D133" s="13">
        <f t="shared" si="19"/>
        <v>8.945174999999999</v>
      </c>
      <c r="E133" s="13">
        <f t="shared" si="20"/>
        <v>2.6639261250000001</v>
      </c>
      <c r="F133" s="11">
        <v>4.25</v>
      </c>
      <c r="G133" s="14">
        <f t="shared" si="21"/>
        <v>71.410898875000001</v>
      </c>
      <c r="H133" s="13">
        <f t="shared" si="22"/>
        <v>10.329176125</v>
      </c>
      <c r="I133" s="11">
        <v>4.62</v>
      </c>
      <c r="J133" s="14">
        <f t="shared" si="23"/>
        <v>71.050823874999992</v>
      </c>
      <c r="K133" s="18">
        <f t="shared" si="24"/>
        <v>0.83035928924418601</v>
      </c>
      <c r="L133" s="18">
        <f t="shared" si="25"/>
        <v>0.82617237063953475</v>
      </c>
      <c r="M133" s="17">
        <f t="shared" si="26"/>
        <v>-0.36007500000000903</v>
      </c>
      <c r="N133" s="18">
        <f t="shared" si="27"/>
        <v>4.1869186046512574E-3</v>
      </c>
    </row>
    <row r="134" spans="1:14" ht="15.75" customHeight="1" x14ac:dyDescent="0.25">
      <c r="A134" s="13">
        <v>87</v>
      </c>
      <c r="B134" s="13">
        <f>IF(A134&lt;5,0.99,'tax and shipping settings'!$B$2)</f>
        <v>1.27</v>
      </c>
      <c r="C134" s="11">
        <f>(A134+B134)*'tax and shipping settings'!$B$1</f>
        <v>7.3705449999999999</v>
      </c>
      <c r="D134" s="13">
        <f t="shared" si="19"/>
        <v>9.0476749999999999</v>
      </c>
      <c r="E134" s="13">
        <f t="shared" si="20"/>
        <v>2.6910136250000001</v>
      </c>
      <c r="F134" s="11">
        <v>4.25</v>
      </c>
      <c r="G134" s="14">
        <f t="shared" si="21"/>
        <v>72.281311375000001</v>
      </c>
      <c r="H134" s="13">
        <f t="shared" si="22"/>
        <v>10.445763625</v>
      </c>
      <c r="I134" s="11">
        <v>4.62</v>
      </c>
      <c r="J134" s="14">
        <f t="shared" si="23"/>
        <v>71.934236374999998</v>
      </c>
      <c r="K134" s="18">
        <f t="shared" si="24"/>
        <v>0.83081967097701148</v>
      </c>
      <c r="L134" s="18">
        <f t="shared" si="25"/>
        <v>0.82683030316091954</v>
      </c>
      <c r="M134" s="17">
        <f t="shared" si="26"/>
        <v>-0.3470750000000038</v>
      </c>
      <c r="N134" s="18">
        <f t="shared" si="27"/>
        <v>3.9893678160919377E-3</v>
      </c>
    </row>
    <row r="135" spans="1:14" ht="15.75" customHeight="1" x14ac:dyDescent="0.25">
      <c r="A135" s="13">
        <v>88</v>
      </c>
      <c r="B135" s="13">
        <f>IF(A135&lt;5,0.99,'tax and shipping settings'!$B$2)</f>
        <v>1.27</v>
      </c>
      <c r="C135" s="11">
        <f>(A135+B135)*'tax and shipping settings'!$B$1</f>
        <v>7.4540449999999998</v>
      </c>
      <c r="D135" s="13">
        <f t="shared" si="19"/>
        <v>9.1501749999999991</v>
      </c>
      <c r="E135" s="13">
        <f t="shared" si="20"/>
        <v>2.7181011249999996</v>
      </c>
      <c r="F135" s="11">
        <v>4.25</v>
      </c>
      <c r="G135" s="14">
        <f t="shared" si="21"/>
        <v>73.151723874999988</v>
      </c>
      <c r="H135" s="13">
        <f t="shared" si="22"/>
        <v>10.562351124999999</v>
      </c>
      <c r="I135" s="11">
        <v>4.62</v>
      </c>
      <c r="J135" s="14">
        <f t="shared" si="23"/>
        <v>72.817648875000003</v>
      </c>
      <c r="K135" s="18">
        <f t="shared" si="24"/>
        <v>0.83126958948863627</v>
      </c>
      <c r="L135" s="18">
        <f t="shared" si="25"/>
        <v>0.82747328267045461</v>
      </c>
      <c r="M135" s="17">
        <f t="shared" si="26"/>
        <v>-0.33407499999998436</v>
      </c>
      <c r="N135" s="18">
        <f t="shared" si="27"/>
        <v>3.7963068181816606E-3</v>
      </c>
    </row>
    <row r="136" spans="1:14" ht="15.75" customHeight="1" x14ac:dyDescent="0.25">
      <c r="A136" s="13">
        <v>89</v>
      </c>
      <c r="B136" s="13">
        <f>IF(A136&lt;5,0.99,'tax and shipping settings'!$B$2)</f>
        <v>1.27</v>
      </c>
      <c r="C136" s="11">
        <f>(A136+B136)*'tax and shipping settings'!$B$1</f>
        <v>7.5375449999999997</v>
      </c>
      <c r="D136" s="13">
        <f t="shared" si="19"/>
        <v>9.2526749999999982</v>
      </c>
      <c r="E136" s="13">
        <f t="shared" si="20"/>
        <v>2.7451886249999999</v>
      </c>
      <c r="F136" s="11">
        <v>4.25</v>
      </c>
      <c r="G136" s="14">
        <f t="shared" si="21"/>
        <v>74.022136375000002</v>
      </c>
      <c r="H136" s="13">
        <f t="shared" si="22"/>
        <v>10.678938624999999</v>
      </c>
      <c r="I136" s="11">
        <v>4.62</v>
      </c>
      <c r="J136" s="14">
        <f t="shared" si="23"/>
        <v>73.701061374999995</v>
      </c>
      <c r="K136" s="18">
        <f t="shared" si="24"/>
        <v>0.83170939747191008</v>
      </c>
      <c r="L136" s="18">
        <f t="shared" si="25"/>
        <v>0.82810181320224718</v>
      </c>
      <c r="M136" s="17">
        <f t="shared" si="26"/>
        <v>-0.32107500000000755</v>
      </c>
      <c r="N136" s="18">
        <f t="shared" si="27"/>
        <v>3.6075842696629001E-3</v>
      </c>
    </row>
    <row r="137" spans="1:14" ht="15.75" customHeight="1" x14ac:dyDescent="0.25">
      <c r="A137" s="13">
        <v>90</v>
      </c>
      <c r="B137" s="13">
        <f>IF(A137&lt;5,0.99,'tax and shipping settings'!$B$2)</f>
        <v>1.27</v>
      </c>
      <c r="C137" s="11">
        <f>(A137+B137)*'tax and shipping settings'!$B$1</f>
        <v>7.6210450000000005</v>
      </c>
      <c r="D137" s="13">
        <f t="shared" si="19"/>
        <v>9.3551749999999991</v>
      </c>
      <c r="E137" s="13">
        <f t="shared" si="20"/>
        <v>2.7722761249999999</v>
      </c>
      <c r="F137" s="11">
        <v>4.25</v>
      </c>
      <c r="G137" s="14">
        <f t="shared" si="21"/>
        <v>74.892548874999989</v>
      </c>
      <c r="H137" s="13">
        <f t="shared" si="22"/>
        <v>10.795526124999999</v>
      </c>
      <c r="I137" s="11">
        <v>4.62</v>
      </c>
      <c r="J137" s="14">
        <f t="shared" si="23"/>
        <v>74.584473875</v>
      </c>
      <c r="K137" s="18">
        <f t="shared" si="24"/>
        <v>0.83213943194444429</v>
      </c>
      <c r="L137" s="18">
        <f t="shared" si="25"/>
        <v>0.82871637638888884</v>
      </c>
      <c r="M137" s="17">
        <f t="shared" si="26"/>
        <v>-0.30807499999998811</v>
      </c>
      <c r="N137" s="18">
        <f t="shared" si="27"/>
        <v>3.4230555555554432E-3</v>
      </c>
    </row>
    <row r="138" spans="1:14" ht="15.75" customHeight="1" x14ac:dyDescent="0.25">
      <c r="A138" s="13">
        <v>91</v>
      </c>
      <c r="B138" s="13">
        <f>IF(A138&lt;5,0.99,'tax and shipping settings'!$B$2)</f>
        <v>1.27</v>
      </c>
      <c r="C138" s="11">
        <f>(A138+B138)*'tax and shipping settings'!$B$1</f>
        <v>7.7045450000000004</v>
      </c>
      <c r="D138" s="13">
        <f t="shared" si="19"/>
        <v>9.4576749999999983</v>
      </c>
      <c r="E138" s="13">
        <f t="shared" si="20"/>
        <v>2.7993636249999998</v>
      </c>
      <c r="F138" s="11">
        <v>4.25</v>
      </c>
      <c r="G138" s="14">
        <f t="shared" si="21"/>
        <v>75.762961375000003</v>
      </c>
      <c r="H138" s="13">
        <f t="shared" si="22"/>
        <v>10.912113625</v>
      </c>
      <c r="I138" s="11">
        <v>4.62</v>
      </c>
      <c r="J138" s="14">
        <f t="shared" si="23"/>
        <v>75.467886374999992</v>
      </c>
      <c r="K138" s="18">
        <f t="shared" si="24"/>
        <v>0.83256001510989019</v>
      </c>
      <c r="L138" s="18">
        <f t="shared" si="25"/>
        <v>0.82931743269230762</v>
      </c>
      <c r="M138" s="17">
        <f t="shared" si="26"/>
        <v>-0.2950750000000113</v>
      </c>
      <c r="N138" s="18">
        <f t="shared" si="27"/>
        <v>3.2425824175825735E-3</v>
      </c>
    </row>
    <row r="139" spans="1:14" ht="15.75" customHeight="1" x14ac:dyDescent="0.25">
      <c r="A139" s="13">
        <v>92</v>
      </c>
      <c r="B139" s="13">
        <f>IF(A139&lt;5,0.99,'tax and shipping settings'!$B$2)</f>
        <v>1.27</v>
      </c>
      <c r="C139" s="11">
        <f>(A139+B139)*'tax and shipping settings'!$B$1</f>
        <v>7.7880450000000003</v>
      </c>
      <c r="D139" s="13">
        <f t="shared" si="19"/>
        <v>9.5601749999999992</v>
      </c>
      <c r="E139" s="13">
        <f t="shared" si="20"/>
        <v>2.8264511249999997</v>
      </c>
      <c r="F139" s="11">
        <v>4.25</v>
      </c>
      <c r="G139" s="14">
        <f t="shared" si="21"/>
        <v>76.63337387499999</v>
      </c>
      <c r="H139" s="13">
        <f t="shared" si="22"/>
        <v>11.028701125</v>
      </c>
      <c r="I139" s="11">
        <v>4.62</v>
      </c>
      <c r="J139" s="14">
        <f t="shared" si="23"/>
        <v>76.351298874999998</v>
      </c>
      <c r="K139" s="18">
        <f t="shared" si="24"/>
        <v>0.83297145516304338</v>
      </c>
      <c r="L139" s="18">
        <f t="shared" si="25"/>
        <v>0.82990542255434785</v>
      </c>
      <c r="M139" s="17">
        <f t="shared" si="26"/>
        <v>-0.28207499999999186</v>
      </c>
      <c r="N139" s="18">
        <f t="shared" si="27"/>
        <v>3.0660326086955347E-3</v>
      </c>
    </row>
    <row r="140" spans="1:14" ht="15.75" customHeight="1" x14ac:dyDescent="0.25">
      <c r="A140" s="13">
        <v>93</v>
      </c>
      <c r="B140" s="13">
        <f>IF(A140&lt;5,0.99,'tax and shipping settings'!$B$2)</f>
        <v>1.27</v>
      </c>
      <c r="C140" s="11">
        <f>(A140+B140)*'tax and shipping settings'!$B$1</f>
        <v>7.8715450000000002</v>
      </c>
      <c r="D140" s="13">
        <f t="shared" si="19"/>
        <v>9.6626749999999983</v>
      </c>
      <c r="E140" s="13">
        <f t="shared" si="20"/>
        <v>2.8535386249999997</v>
      </c>
      <c r="F140" s="11">
        <v>4.25</v>
      </c>
      <c r="G140" s="14">
        <f t="shared" si="21"/>
        <v>77.503786375000004</v>
      </c>
      <c r="H140" s="13">
        <f t="shared" si="22"/>
        <v>11.145288624999999</v>
      </c>
      <c r="I140" s="11">
        <v>4.62</v>
      </c>
      <c r="J140" s="14">
        <f t="shared" si="23"/>
        <v>77.234711374999989</v>
      </c>
      <c r="K140" s="18">
        <f t="shared" si="24"/>
        <v>0.83337404704301077</v>
      </c>
      <c r="L140" s="18">
        <f t="shared" si="25"/>
        <v>0.83048076747311816</v>
      </c>
      <c r="M140" s="17">
        <f t="shared" si="26"/>
        <v>-0.26907500000001505</v>
      </c>
      <c r="N140" s="18">
        <f t="shared" si="27"/>
        <v>2.8932795698926039E-3</v>
      </c>
    </row>
    <row r="141" spans="1:14" ht="15.75" customHeight="1" x14ac:dyDescent="0.25">
      <c r="A141" s="13">
        <v>94</v>
      </c>
      <c r="B141" s="13">
        <f>IF(A141&lt;5,0.99,'tax and shipping settings'!$B$2)</f>
        <v>1.27</v>
      </c>
      <c r="C141" s="11">
        <f>(A141+B141)*'tax and shipping settings'!$B$1</f>
        <v>7.9550450000000001</v>
      </c>
      <c r="D141" s="13">
        <f t="shared" si="19"/>
        <v>9.7651749999999993</v>
      </c>
      <c r="E141" s="13">
        <f t="shared" si="20"/>
        <v>2.880626125</v>
      </c>
      <c r="F141" s="11">
        <v>4.25</v>
      </c>
      <c r="G141" s="14">
        <f t="shared" si="21"/>
        <v>78.37419887499999</v>
      </c>
      <c r="H141" s="13">
        <f t="shared" si="22"/>
        <v>11.261876125000001</v>
      </c>
      <c r="I141" s="11">
        <v>4.62</v>
      </c>
      <c r="J141" s="14">
        <f t="shared" si="23"/>
        <v>78.118123874999995</v>
      </c>
      <c r="K141" s="18">
        <f t="shared" si="24"/>
        <v>0.83376807313829782</v>
      </c>
      <c r="L141" s="18">
        <f t="shared" si="25"/>
        <v>0.83104387101063826</v>
      </c>
      <c r="M141" s="17">
        <f t="shared" si="26"/>
        <v>-0.25607499999999561</v>
      </c>
      <c r="N141" s="18">
        <f t="shared" si="27"/>
        <v>2.7242021276595585E-3</v>
      </c>
    </row>
    <row r="142" spans="1:14" ht="15.75" customHeight="1" x14ac:dyDescent="0.25">
      <c r="A142" s="13">
        <v>95</v>
      </c>
      <c r="B142" s="13">
        <f>IF(A142&lt;5,0.99,'tax and shipping settings'!$B$2)</f>
        <v>1.27</v>
      </c>
      <c r="C142" s="11">
        <f>(A142+B142)*'tax and shipping settings'!$B$1</f>
        <v>8.0385450000000009</v>
      </c>
      <c r="D142" s="13">
        <f t="shared" si="19"/>
        <v>9.8676749999999984</v>
      </c>
      <c r="E142" s="13">
        <f t="shared" si="20"/>
        <v>2.907713625</v>
      </c>
      <c r="F142" s="11">
        <v>4.25</v>
      </c>
      <c r="G142" s="14">
        <f t="shared" si="21"/>
        <v>79.244611374999991</v>
      </c>
      <c r="H142" s="13">
        <f t="shared" si="22"/>
        <v>11.378463624999998</v>
      </c>
      <c r="I142" s="11">
        <v>4.62</v>
      </c>
      <c r="J142" s="14">
        <f t="shared" si="23"/>
        <v>79.001536375000001</v>
      </c>
      <c r="K142" s="18">
        <f t="shared" si="24"/>
        <v>0.83415380394736838</v>
      </c>
      <c r="L142" s="18">
        <f t="shared" si="25"/>
        <v>0.83159511973684208</v>
      </c>
      <c r="M142" s="17">
        <f t="shared" si="26"/>
        <v>-0.24307499999999038</v>
      </c>
      <c r="N142" s="18">
        <f t="shared" si="27"/>
        <v>2.5586842105262964E-3</v>
      </c>
    </row>
    <row r="143" spans="1:14" ht="15.75" customHeight="1" x14ac:dyDescent="0.25">
      <c r="A143" s="13">
        <v>96</v>
      </c>
      <c r="B143" s="13">
        <f>IF(A143&lt;5,0.99,'tax and shipping settings'!$B$2)</f>
        <v>1.27</v>
      </c>
      <c r="C143" s="11">
        <f>(A143+B143)*'tax and shipping settings'!$B$1</f>
        <v>8.122045</v>
      </c>
      <c r="D143" s="13">
        <f t="shared" si="19"/>
        <v>9.9701749999999993</v>
      </c>
      <c r="E143" s="13">
        <f t="shared" si="20"/>
        <v>2.9348011249999999</v>
      </c>
      <c r="F143" s="11">
        <v>4.25</v>
      </c>
      <c r="G143" s="14">
        <f t="shared" si="21"/>
        <v>80.115023874999991</v>
      </c>
      <c r="H143" s="13">
        <f t="shared" si="22"/>
        <v>11.495051125</v>
      </c>
      <c r="I143" s="11">
        <v>4.62</v>
      </c>
      <c r="J143" s="14">
        <f t="shared" si="23"/>
        <v>79.884948874999992</v>
      </c>
      <c r="K143" s="18">
        <f t="shared" si="24"/>
        <v>0.83453149869791654</v>
      </c>
      <c r="L143" s="18">
        <f t="shared" si="25"/>
        <v>0.83213488411458325</v>
      </c>
      <c r="M143" s="17">
        <f t="shared" si="26"/>
        <v>-0.23007499999999936</v>
      </c>
      <c r="N143" s="18">
        <f t="shared" si="27"/>
        <v>2.3966145833332897E-3</v>
      </c>
    </row>
    <row r="144" spans="1:14" ht="15.75" customHeight="1" x14ac:dyDescent="0.25">
      <c r="A144" s="13">
        <v>97</v>
      </c>
      <c r="B144" s="13">
        <f>IF(A144&lt;5,0.99,'tax and shipping settings'!$B$2)</f>
        <v>1.27</v>
      </c>
      <c r="C144" s="11">
        <f>(A144+B144)*'tax and shipping settings'!$B$1</f>
        <v>8.2055450000000008</v>
      </c>
      <c r="D144" s="13">
        <f t="shared" si="19"/>
        <v>10.072674999999998</v>
      </c>
      <c r="E144" s="13">
        <f t="shared" si="20"/>
        <v>2.9618886249999998</v>
      </c>
      <c r="F144" s="11">
        <v>4.25</v>
      </c>
      <c r="G144" s="14">
        <f t="shared" si="21"/>
        <v>80.985436374999992</v>
      </c>
      <c r="H144" s="13">
        <f t="shared" si="22"/>
        <v>11.611638624999999</v>
      </c>
      <c r="I144" s="11">
        <v>4.62</v>
      </c>
      <c r="J144" s="14">
        <f t="shared" si="23"/>
        <v>80.768361374999998</v>
      </c>
      <c r="K144" s="18">
        <f t="shared" si="24"/>
        <v>0.83490140592783502</v>
      </c>
      <c r="L144" s="18">
        <f t="shared" si="25"/>
        <v>0.83266351932989691</v>
      </c>
      <c r="M144" s="17">
        <f t="shared" si="26"/>
        <v>-0.21707499999999413</v>
      </c>
      <c r="N144" s="18">
        <f t="shared" si="27"/>
        <v>2.2378865979381102E-3</v>
      </c>
    </row>
    <row r="145" spans="1:14" ht="15.75" customHeight="1" x14ac:dyDescent="0.25">
      <c r="A145" s="13">
        <v>98</v>
      </c>
      <c r="B145" s="13">
        <f>IF(A145&lt;5,0.99,'tax and shipping settings'!$B$2)</f>
        <v>1.27</v>
      </c>
      <c r="C145" s="11">
        <f>(A145+B145)*'tax and shipping settings'!$B$1</f>
        <v>8.2890449999999998</v>
      </c>
      <c r="D145" s="13">
        <f t="shared" si="19"/>
        <v>10.175174999999999</v>
      </c>
      <c r="E145" s="13">
        <f t="shared" si="20"/>
        <v>2.9889761249999998</v>
      </c>
      <c r="F145" s="11">
        <v>4.25</v>
      </c>
      <c r="G145" s="14">
        <f t="shared" si="21"/>
        <v>81.855848875000007</v>
      </c>
      <c r="H145" s="13">
        <f t="shared" si="22"/>
        <v>11.728226124999999</v>
      </c>
      <c r="I145" s="11">
        <v>4.62</v>
      </c>
      <c r="J145" s="14">
        <f t="shared" si="23"/>
        <v>81.651773875000003</v>
      </c>
      <c r="K145" s="18">
        <f t="shared" si="24"/>
        <v>0.83526376403061231</v>
      </c>
      <c r="L145" s="18">
        <f t="shared" si="25"/>
        <v>0.83318136607142856</v>
      </c>
      <c r="M145" s="17">
        <f t="shared" si="26"/>
        <v>-0.20407500000000312</v>
      </c>
      <c r="N145" s="18">
        <f t="shared" si="27"/>
        <v>2.082397959183746E-3</v>
      </c>
    </row>
    <row r="146" spans="1:14" ht="15.75" customHeight="1" x14ac:dyDescent="0.25">
      <c r="A146" s="13">
        <v>99</v>
      </c>
      <c r="B146" s="13">
        <f>IF(A146&lt;5,0.99,'tax and shipping settings'!$B$2)</f>
        <v>1.27</v>
      </c>
      <c r="C146" s="11">
        <f>(A146+B146)*'tax and shipping settings'!$B$1</f>
        <v>8.3725450000000006</v>
      </c>
      <c r="D146" s="13">
        <f t="shared" si="19"/>
        <v>10.277674999999999</v>
      </c>
      <c r="E146" s="13">
        <f t="shared" si="20"/>
        <v>3.0160636250000001</v>
      </c>
      <c r="F146" s="11">
        <v>4.25</v>
      </c>
      <c r="G146" s="14">
        <f t="shared" si="21"/>
        <v>82.726261374999993</v>
      </c>
      <c r="H146" s="13">
        <f t="shared" si="22"/>
        <v>11.844813625</v>
      </c>
      <c r="I146" s="11">
        <v>4.62</v>
      </c>
      <c r="J146" s="14">
        <f t="shared" si="23"/>
        <v>82.535186374999995</v>
      </c>
      <c r="K146" s="18">
        <f t="shared" si="24"/>
        <v>0.83561880176767667</v>
      </c>
      <c r="L146" s="18">
        <f t="shared" si="25"/>
        <v>0.8336887512626262</v>
      </c>
      <c r="M146" s="17">
        <f t="shared" si="26"/>
        <v>-0.19107499999999789</v>
      </c>
      <c r="N146" s="18">
        <f t="shared" si="27"/>
        <v>1.9300505050504624E-3</v>
      </c>
    </row>
    <row r="147" spans="1:14" ht="15.75" customHeight="1" x14ac:dyDescent="0.25">
      <c r="A147" s="19"/>
      <c r="B147" s="13"/>
      <c r="C147" s="11"/>
      <c r="D147" s="13"/>
      <c r="E147" s="13"/>
      <c r="F147" s="50"/>
      <c r="G147" s="51"/>
      <c r="H147" s="13"/>
      <c r="I147" s="50"/>
      <c r="J147" s="51"/>
      <c r="K147" s="52"/>
      <c r="L147" s="52"/>
      <c r="N147" s="18"/>
    </row>
    <row r="148" spans="1:14" ht="15.75" customHeight="1" x14ac:dyDescent="0.25">
      <c r="A148" s="53">
        <v>100</v>
      </c>
      <c r="B148" s="54">
        <f>IF(A148&lt;5,0.99,'tax and shipping settings'!$B$2)</f>
        <v>1.27</v>
      </c>
      <c r="C148" s="55">
        <f>(A148+B148)*'tax and shipping settings'!$B$1</f>
        <v>8.4560449999999996</v>
      </c>
      <c r="D148" s="54">
        <f t="shared" ref="D148:D194" si="28">MIN(50,(A148+B148)*0.1025)</f>
        <v>10.380174999999999</v>
      </c>
      <c r="E148" s="54">
        <f t="shared" ref="E148:E194" si="29">(A148+B148+C148)*0.025+0.3</f>
        <v>3.0431511250000001</v>
      </c>
      <c r="F148" s="56">
        <v>4.25</v>
      </c>
      <c r="G148" s="53">
        <f t="shared" ref="G148:G194" si="30">A148+B148-D148-E148-F148</f>
        <v>83.596673875000008</v>
      </c>
      <c r="H148" s="54">
        <f t="shared" ref="H148:H179" si="31">0.3 + (A148+C148)*(0.025) + A148*(0.0895)</f>
        <v>11.961401124999998</v>
      </c>
      <c r="I148" s="56">
        <v>4.62</v>
      </c>
      <c r="J148" s="53">
        <f t="shared" ref="J148:J194" si="32">A148-H148-I148</f>
        <v>83.418598875000001</v>
      </c>
      <c r="K148" s="38">
        <f t="shared" ref="K148:K194" si="33">G148/A148</f>
        <v>0.83596673875000005</v>
      </c>
      <c r="L148" s="38">
        <f t="shared" ref="L148:L194" si="34">J148/A148</f>
        <v>0.83418598875000005</v>
      </c>
      <c r="M148" s="57">
        <f t="shared" ref="M148:M194" si="35">J148-G148</f>
        <v>-0.17807500000000687</v>
      </c>
      <c r="N148" s="18">
        <f t="shared" ref="N148:N194" si="36">(K148-L148)</f>
        <v>1.7807499999999976E-3</v>
      </c>
    </row>
    <row r="149" spans="1:14" ht="15.75" customHeight="1" x14ac:dyDescent="0.25">
      <c r="A149" s="14">
        <v>105</v>
      </c>
      <c r="B149" s="13">
        <f>IF(A149&lt;5,0.99,'tax and shipping settings'!$B$2)</f>
        <v>1.27</v>
      </c>
      <c r="C149" s="11">
        <f>(A149+B149)*'tax and shipping settings'!$B$1</f>
        <v>8.873545</v>
      </c>
      <c r="D149" s="13">
        <f t="shared" si="28"/>
        <v>10.892674999999999</v>
      </c>
      <c r="E149" s="13">
        <f t="shared" si="29"/>
        <v>3.1785886249999997</v>
      </c>
      <c r="F149" s="11">
        <v>4.25</v>
      </c>
      <c r="G149" s="14">
        <f t="shared" si="30"/>
        <v>87.948736374999996</v>
      </c>
      <c r="H149" s="13">
        <f t="shared" si="31"/>
        <v>12.544338624999998</v>
      </c>
      <c r="I149" s="11">
        <v>4.62</v>
      </c>
      <c r="J149" s="14">
        <f t="shared" si="32"/>
        <v>87.835661375000001</v>
      </c>
      <c r="K149" s="18">
        <f t="shared" si="33"/>
        <v>0.83760701309523811</v>
      </c>
      <c r="L149" s="18">
        <f t="shared" si="34"/>
        <v>0.8365301083333333</v>
      </c>
      <c r="M149" s="17">
        <f t="shared" si="35"/>
        <v>-0.11307499999999493</v>
      </c>
      <c r="N149" s="18">
        <f t="shared" si="36"/>
        <v>1.0769047619048067E-3</v>
      </c>
    </row>
    <row r="150" spans="1:14" ht="15.75" customHeight="1" x14ac:dyDescent="0.25">
      <c r="A150" s="53">
        <v>110</v>
      </c>
      <c r="B150" s="54">
        <f>IF(A150&lt;5,0.99,'tax and shipping settings'!$B$2)</f>
        <v>1.27</v>
      </c>
      <c r="C150" s="55">
        <f>(A150+B150)*'tax and shipping settings'!$B$1</f>
        <v>9.2910450000000004</v>
      </c>
      <c r="D150" s="54">
        <f t="shared" si="28"/>
        <v>11.405174999999998</v>
      </c>
      <c r="E150" s="54">
        <f t="shared" si="29"/>
        <v>3.3140261249999998</v>
      </c>
      <c r="F150" s="56">
        <v>4.25</v>
      </c>
      <c r="G150" s="53">
        <f t="shared" si="30"/>
        <v>92.300798874999998</v>
      </c>
      <c r="H150" s="54">
        <f t="shared" si="31"/>
        <v>13.127276124999998</v>
      </c>
      <c r="I150" s="56">
        <v>4.62</v>
      </c>
      <c r="J150" s="53">
        <f t="shared" si="32"/>
        <v>92.252723875000001</v>
      </c>
      <c r="K150" s="38">
        <f t="shared" si="33"/>
        <v>0.83909817159090905</v>
      </c>
      <c r="L150" s="38">
        <f t="shared" si="34"/>
        <v>0.83866112613636368</v>
      </c>
      <c r="M150" s="57">
        <f t="shared" si="35"/>
        <v>-4.8074999999997203E-2</v>
      </c>
      <c r="N150" s="18">
        <f t="shared" si="36"/>
        <v>4.3704545454537058E-4</v>
      </c>
    </row>
    <row r="151" spans="1:14" ht="15.75" customHeight="1" x14ac:dyDescent="0.25">
      <c r="A151" s="14">
        <v>115</v>
      </c>
      <c r="B151" s="13">
        <f>IF(A151&lt;5,0.99,'tax and shipping settings'!$B$2)</f>
        <v>1.27</v>
      </c>
      <c r="C151" s="11">
        <f>(A151+B151)*'tax and shipping settings'!$B$1</f>
        <v>9.7085450000000009</v>
      </c>
      <c r="D151" s="13">
        <f t="shared" si="28"/>
        <v>11.917674999999999</v>
      </c>
      <c r="E151" s="13">
        <f t="shared" si="29"/>
        <v>3.4494636249999999</v>
      </c>
      <c r="F151" s="11">
        <v>4.25</v>
      </c>
      <c r="G151" s="14">
        <f t="shared" si="30"/>
        <v>96.652861374999986</v>
      </c>
      <c r="H151" s="13">
        <f t="shared" si="31"/>
        <v>13.710213625000002</v>
      </c>
      <c r="I151" s="11">
        <v>4.62</v>
      </c>
      <c r="J151" s="14">
        <f t="shared" si="32"/>
        <v>96.669786375000001</v>
      </c>
      <c r="K151" s="18">
        <f t="shared" si="33"/>
        <v>0.84045966413043471</v>
      </c>
      <c r="L151" s="18">
        <f t="shared" si="34"/>
        <v>0.84060683804347824</v>
      </c>
      <c r="M151" s="17">
        <f t="shared" si="35"/>
        <v>1.6925000000014734E-2</v>
      </c>
      <c r="N151" s="18">
        <f t="shared" si="36"/>
        <v>-1.4717391304353011E-4</v>
      </c>
    </row>
    <row r="152" spans="1:14" ht="15.75" customHeight="1" x14ac:dyDescent="0.25">
      <c r="A152" s="53">
        <v>120</v>
      </c>
      <c r="B152" s="54">
        <f>IF(A152&lt;5,0.99,'tax and shipping settings'!$B$2)</f>
        <v>1.27</v>
      </c>
      <c r="C152" s="55">
        <f>(A152+B152)*'tax and shipping settings'!$B$1</f>
        <v>10.126045</v>
      </c>
      <c r="D152" s="54">
        <f t="shared" si="28"/>
        <v>12.430174999999998</v>
      </c>
      <c r="E152" s="54">
        <f t="shared" si="29"/>
        <v>3.5849011249999996</v>
      </c>
      <c r="F152" s="56">
        <v>4.25</v>
      </c>
      <c r="G152" s="53">
        <f t="shared" si="30"/>
        <v>101.00492387499999</v>
      </c>
      <c r="H152" s="54">
        <f t="shared" si="31"/>
        <v>14.293151125000001</v>
      </c>
      <c r="I152" s="56">
        <v>4.62</v>
      </c>
      <c r="J152" s="53">
        <f t="shared" si="32"/>
        <v>101.08684887499999</v>
      </c>
      <c r="K152" s="38">
        <f t="shared" si="33"/>
        <v>0.84170769895833319</v>
      </c>
      <c r="L152" s="38">
        <f t="shared" si="34"/>
        <v>0.84239040729166659</v>
      </c>
      <c r="M152" s="57">
        <f t="shared" si="35"/>
        <v>8.1924999999998249E-2</v>
      </c>
      <c r="N152" s="18">
        <f t="shared" si="36"/>
        <v>-6.8270833333339276E-4</v>
      </c>
    </row>
    <row r="153" spans="1:14" ht="15.75" customHeight="1" x14ac:dyDescent="0.25">
      <c r="A153" s="14">
        <v>125</v>
      </c>
      <c r="B153" s="13">
        <f>IF(A153&lt;5,0.99,'tax and shipping settings'!$B$2)</f>
        <v>1.27</v>
      </c>
      <c r="C153" s="11">
        <f>(A153+B153)*'tax and shipping settings'!$B$1</f>
        <v>10.543545</v>
      </c>
      <c r="D153" s="13">
        <f t="shared" si="28"/>
        <v>12.942674999999999</v>
      </c>
      <c r="E153" s="13">
        <f t="shared" si="29"/>
        <v>3.7203386250000001</v>
      </c>
      <c r="F153" s="11">
        <v>4.25</v>
      </c>
      <c r="G153" s="14">
        <f t="shared" si="30"/>
        <v>105.35698637500001</v>
      </c>
      <c r="H153" s="13">
        <f t="shared" si="31"/>
        <v>14.876088625</v>
      </c>
      <c r="I153" s="11">
        <v>4.62</v>
      </c>
      <c r="J153" s="14">
        <f t="shared" si="32"/>
        <v>105.503911375</v>
      </c>
      <c r="K153" s="18">
        <f t="shared" si="33"/>
        <v>0.84285589100000002</v>
      </c>
      <c r="L153" s="18">
        <f t="shared" si="34"/>
        <v>0.84403129099999996</v>
      </c>
      <c r="M153" s="17">
        <f t="shared" si="35"/>
        <v>0.14692499999999598</v>
      </c>
      <c r="N153" s="18">
        <f t="shared" si="36"/>
        <v>-1.1753999999999376E-3</v>
      </c>
    </row>
    <row r="154" spans="1:14" ht="15.75" customHeight="1" x14ac:dyDescent="0.25">
      <c r="A154" s="53">
        <v>130</v>
      </c>
      <c r="B154" s="54">
        <f>IF(A154&lt;5,0.99,'tax and shipping settings'!$B$2)</f>
        <v>1.27</v>
      </c>
      <c r="C154" s="55">
        <f>(A154+B154)*'tax and shipping settings'!$B$1</f>
        <v>10.961045000000002</v>
      </c>
      <c r="D154" s="54">
        <f t="shared" si="28"/>
        <v>13.455175000000001</v>
      </c>
      <c r="E154" s="54">
        <f t="shared" si="29"/>
        <v>3.8557761250000007</v>
      </c>
      <c r="F154" s="56">
        <v>4.25</v>
      </c>
      <c r="G154" s="53">
        <f t="shared" si="30"/>
        <v>109.70904887500001</v>
      </c>
      <c r="H154" s="54">
        <f t="shared" si="31"/>
        <v>15.459026125000001</v>
      </c>
      <c r="I154" s="56">
        <v>4.62</v>
      </c>
      <c r="J154" s="53">
        <f t="shared" si="32"/>
        <v>109.92097387499999</v>
      </c>
      <c r="K154" s="38">
        <f t="shared" si="33"/>
        <v>0.84391576057692319</v>
      </c>
      <c r="L154" s="38">
        <f t="shared" si="34"/>
        <v>0.84554595288461531</v>
      </c>
      <c r="M154" s="57">
        <f t="shared" si="35"/>
        <v>0.21192499999997949</v>
      </c>
      <c r="N154" s="18">
        <f t="shared" si="36"/>
        <v>-1.6301923076921243E-3</v>
      </c>
    </row>
    <row r="155" spans="1:14" ht="15.75" customHeight="1" x14ac:dyDescent="0.25">
      <c r="A155" s="14">
        <v>135</v>
      </c>
      <c r="B155" s="13">
        <f>IF(A155&lt;5,0.99,'tax and shipping settings'!$B$2)</f>
        <v>1.27</v>
      </c>
      <c r="C155" s="11">
        <f>(A155+B155)*'tax and shipping settings'!$B$1</f>
        <v>11.378545000000001</v>
      </c>
      <c r="D155" s="13">
        <f t="shared" si="28"/>
        <v>13.967675</v>
      </c>
      <c r="E155" s="13">
        <f t="shared" si="29"/>
        <v>3.9912136250000003</v>
      </c>
      <c r="F155" s="11">
        <v>4.25</v>
      </c>
      <c r="G155" s="14">
        <f t="shared" si="30"/>
        <v>114.06111137500001</v>
      </c>
      <c r="H155" s="13">
        <f t="shared" si="31"/>
        <v>16.041963625000001</v>
      </c>
      <c r="I155" s="11">
        <v>4.62</v>
      </c>
      <c r="J155" s="14">
        <f t="shared" si="32"/>
        <v>114.338036375</v>
      </c>
      <c r="K155" s="18">
        <f t="shared" si="33"/>
        <v>0.84489712129629635</v>
      </c>
      <c r="L155" s="18">
        <f t="shared" si="34"/>
        <v>0.84694841759259265</v>
      </c>
      <c r="M155" s="17">
        <f t="shared" si="35"/>
        <v>0.27692499999999143</v>
      </c>
      <c r="N155" s="18">
        <f t="shared" si="36"/>
        <v>-2.0512962962963011E-3</v>
      </c>
    </row>
    <row r="156" spans="1:14" ht="15.75" customHeight="1" x14ac:dyDescent="0.25">
      <c r="A156" s="53">
        <v>140</v>
      </c>
      <c r="B156" s="54">
        <f>IF(A156&lt;5,0.99,'tax and shipping settings'!$B$2)</f>
        <v>1.27</v>
      </c>
      <c r="C156" s="55">
        <f>(A156+B156)*'tax and shipping settings'!$B$1</f>
        <v>11.796045000000001</v>
      </c>
      <c r="D156" s="54">
        <f t="shared" si="28"/>
        <v>14.480175000000001</v>
      </c>
      <c r="E156" s="54">
        <f t="shared" si="29"/>
        <v>4.1266511250000004</v>
      </c>
      <c r="F156" s="56">
        <v>4.25</v>
      </c>
      <c r="G156" s="53">
        <f t="shared" si="30"/>
        <v>118.41317387500001</v>
      </c>
      <c r="H156" s="54">
        <f t="shared" si="31"/>
        <v>16.624901125000001</v>
      </c>
      <c r="I156" s="56">
        <v>4.62</v>
      </c>
      <c r="J156" s="53">
        <f t="shared" si="32"/>
        <v>118.75509887499999</v>
      </c>
      <c r="K156" s="38">
        <f t="shared" si="33"/>
        <v>0.84580838482142862</v>
      </c>
      <c r="L156" s="38">
        <f t="shared" si="34"/>
        <v>0.84825070624999988</v>
      </c>
      <c r="M156" s="57">
        <f t="shared" si="35"/>
        <v>0.34192499999997494</v>
      </c>
      <c r="N156" s="18">
        <f t="shared" si="36"/>
        <v>-2.4423214285712591E-3</v>
      </c>
    </row>
    <row r="157" spans="1:14" ht="15.75" customHeight="1" x14ac:dyDescent="0.25">
      <c r="A157" s="14">
        <v>145</v>
      </c>
      <c r="B157" s="13">
        <f>IF(A157&lt;5,0.99,'tax and shipping settings'!$B$2)</f>
        <v>1.27</v>
      </c>
      <c r="C157" s="11">
        <f>(A157+B157)*'tax and shipping settings'!$B$1</f>
        <v>12.213545000000002</v>
      </c>
      <c r="D157" s="13">
        <f t="shared" si="28"/>
        <v>14.992675</v>
      </c>
      <c r="E157" s="13">
        <f t="shared" si="29"/>
        <v>4.2620886250000005</v>
      </c>
      <c r="F157" s="11">
        <v>4.25</v>
      </c>
      <c r="G157" s="14">
        <f t="shared" si="30"/>
        <v>122.76523637500001</v>
      </c>
      <c r="H157" s="13">
        <f t="shared" si="31"/>
        <v>17.207838625000001</v>
      </c>
      <c r="I157" s="11">
        <v>4.62</v>
      </c>
      <c r="J157" s="14">
        <f t="shared" si="32"/>
        <v>123.172161375</v>
      </c>
      <c r="K157" s="18">
        <f t="shared" si="33"/>
        <v>0.84665680258620701</v>
      </c>
      <c r="L157" s="18">
        <f t="shared" si="34"/>
        <v>0.84946318189655179</v>
      </c>
      <c r="M157" s="17">
        <f t="shared" si="35"/>
        <v>0.40692499999998688</v>
      </c>
      <c r="N157" s="18">
        <f t="shared" si="36"/>
        <v>-2.8063793103447754E-3</v>
      </c>
    </row>
    <row r="158" spans="1:14" ht="15.75" customHeight="1" x14ac:dyDescent="0.25">
      <c r="A158" s="53">
        <v>150</v>
      </c>
      <c r="B158" s="54">
        <f>IF(A158&lt;5,0.99,'tax and shipping settings'!$B$2)</f>
        <v>1.27</v>
      </c>
      <c r="C158" s="55">
        <f>(A158+B158)*'tax and shipping settings'!$B$1</f>
        <v>12.631045000000002</v>
      </c>
      <c r="D158" s="54">
        <f t="shared" si="28"/>
        <v>15.505174999999999</v>
      </c>
      <c r="E158" s="54">
        <f t="shared" si="29"/>
        <v>4.3975261250000006</v>
      </c>
      <c r="F158" s="56">
        <v>4.25</v>
      </c>
      <c r="G158" s="53">
        <f t="shared" si="30"/>
        <v>127.11729887499999</v>
      </c>
      <c r="H158" s="54">
        <f t="shared" si="31"/>
        <v>17.790776125000001</v>
      </c>
      <c r="I158" s="56">
        <v>4.62</v>
      </c>
      <c r="J158" s="53">
        <f t="shared" si="32"/>
        <v>127.58922387499999</v>
      </c>
      <c r="K158" s="38">
        <f t="shared" si="33"/>
        <v>0.84744865916666656</v>
      </c>
      <c r="L158" s="38">
        <f t="shared" si="34"/>
        <v>0.85059482583333323</v>
      </c>
      <c r="M158" s="57">
        <f t="shared" si="35"/>
        <v>0.47192499999999882</v>
      </c>
      <c r="N158" s="18">
        <f t="shared" si="36"/>
        <v>-3.1461666666666721E-3</v>
      </c>
    </row>
    <row r="159" spans="1:14" ht="15.75" customHeight="1" x14ac:dyDescent="0.25">
      <c r="A159" s="14">
        <v>155</v>
      </c>
      <c r="B159" s="13">
        <f>IF(A159&lt;5,0.99,'tax and shipping settings'!$B$2)</f>
        <v>1.27</v>
      </c>
      <c r="C159" s="11">
        <f>(A159+B159)*'tax and shipping settings'!$B$1</f>
        <v>13.048545000000001</v>
      </c>
      <c r="D159" s="13">
        <f t="shared" si="28"/>
        <v>16.017675000000001</v>
      </c>
      <c r="E159" s="13">
        <f t="shared" si="29"/>
        <v>4.5329636249999998</v>
      </c>
      <c r="F159" s="11">
        <v>4.25</v>
      </c>
      <c r="G159" s="14">
        <f t="shared" si="30"/>
        <v>131.46936137500001</v>
      </c>
      <c r="H159" s="13">
        <f t="shared" si="31"/>
        <v>18.373713625000001</v>
      </c>
      <c r="I159" s="11">
        <v>4.62</v>
      </c>
      <c r="J159" s="14">
        <f t="shared" si="32"/>
        <v>132.006286375</v>
      </c>
      <c r="K159" s="18">
        <f t="shared" si="33"/>
        <v>0.84818942822580645</v>
      </c>
      <c r="L159" s="18">
        <f t="shared" si="34"/>
        <v>0.85165346048387103</v>
      </c>
      <c r="M159" s="17">
        <f t="shared" si="35"/>
        <v>0.53692499999999654</v>
      </c>
      <c r="N159" s="18">
        <f t="shared" si="36"/>
        <v>-3.4640322580645755E-3</v>
      </c>
    </row>
    <row r="160" spans="1:14" ht="15.75" customHeight="1" x14ac:dyDescent="0.25">
      <c r="A160" s="53">
        <v>160</v>
      </c>
      <c r="B160" s="54">
        <f>IF(A160&lt;5,0.99,'tax and shipping settings'!$B$2)</f>
        <v>1.27</v>
      </c>
      <c r="C160" s="55">
        <f>(A160+B160)*'tax and shipping settings'!$B$1</f>
        <v>13.466045000000001</v>
      </c>
      <c r="D160" s="54">
        <f t="shared" si="28"/>
        <v>16.530175</v>
      </c>
      <c r="E160" s="54">
        <f t="shared" si="29"/>
        <v>4.6684011250000008</v>
      </c>
      <c r="F160" s="56">
        <v>4.25</v>
      </c>
      <c r="G160" s="53">
        <f t="shared" si="30"/>
        <v>135.82142387499999</v>
      </c>
      <c r="H160" s="54">
        <f t="shared" si="31"/>
        <v>18.956651125</v>
      </c>
      <c r="I160" s="56">
        <v>4.62</v>
      </c>
      <c r="J160" s="53">
        <f t="shared" si="32"/>
        <v>136.42334887499999</v>
      </c>
      <c r="K160" s="38">
        <f t="shared" si="33"/>
        <v>0.84888389921874996</v>
      </c>
      <c r="L160" s="38">
        <f t="shared" si="34"/>
        <v>0.85264593046874992</v>
      </c>
      <c r="M160" s="57">
        <f t="shared" si="35"/>
        <v>0.60192499999999427</v>
      </c>
      <c r="N160" s="18">
        <f t="shared" si="36"/>
        <v>-3.7620312499999642E-3</v>
      </c>
    </row>
    <row r="161" spans="1:14" ht="15.75" customHeight="1" x14ac:dyDescent="0.25">
      <c r="A161" s="14">
        <v>165</v>
      </c>
      <c r="B161" s="13">
        <f>IF(A161&lt;5,0.99,'tax and shipping settings'!$B$2)</f>
        <v>1.27</v>
      </c>
      <c r="C161" s="11">
        <f>(A161+B161)*'tax and shipping settings'!$B$1</f>
        <v>13.883545000000002</v>
      </c>
      <c r="D161" s="13">
        <f t="shared" si="28"/>
        <v>17.042674999999999</v>
      </c>
      <c r="E161" s="13">
        <f t="shared" si="29"/>
        <v>4.803838625</v>
      </c>
      <c r="F161" s="11">
        <v>4.25</v>
      </c>
      <c r="G161" s="14">
        <f t="shared" si="30"/>
        <v>140.17348637500001</v>
      </c>
      <c r="H161" s="13">
        <f t="shared" si="31"/>
        <v>19.539588625</v>
      </c>
      <c r="I161" s="11">
        <v>4.62</v>
      </c>
      <c r="J161" s="14">
        <f t="shared" si="32"/>
        <v>140.840411375</v>
      </c>
      <c r="K161" s="18">
        <f t="shared" si="33"/>
        <v>0.84953628106060608</v>
      </c>
      <c r="L161" s="18">
        <f t="shared" si="34"/>
        <v>0.85357825075757576</v>
      </c>
      <c r="M161" s="17">
        <f t="shared" si="35"/>
        <v>0.666924999999992</v>
      </c>
      <c r="N161" s="18">
        <f t="shared" si="36"/>
        <v>-4.0419696969696828E-3</v>
      </c>
    </row>
    <row r="162" spans="1:14" ht="15.75" customHeight="1" x14ac:dyDescent="0.25">
      <c r="A162" s="53">
        <v>170</v>
      </c>
      <c r="B162" s="54">
        <f>IF(A162&lt;5,0.99,'tax and shipping settings'!$B$2)</f>
        <v>1.27</v>
      </c>
      <c r="C162" s="55">
        <f>(A162+B162)*'tax and shipping settings'!$B$1</f>
        <v>14.301045000000002</v>
      </c>
      <c r="D162" s="54">
        <f t="shared" si="28"/>
        <v>17.555174999999998</v>
      </c>
      <c r="E162" s="54">
        <f t="shared" si="29"/>
        <v>4.939276125000001</v>
      </c>
      <c r="F162" s="56">
        <v>4.25</v>
      </c>
      <c r="G162" s="53">
        <f t="shared" si="30"/>
        <v>144.52554887500003</v>
      </c>
      <c r="H162" s="54">
        <f t="shared" si="31"/>
        <v>20.122526125</v>
      </c>
      <c r="I162" s="56">
        <v>4.62</v>
      </c>
      <c r="J162" s="53">
        <f t="shared" si="32"/>
        <v>145.25747387499999</v>
      </c>
      <c r="K162" s="38">
        <f t="shared" si="33"/>
        <v>0.85015028750000021</v>
      </c>
      <c r="L162" s="38">
        <f t="shared" si="34"/>
        <v>0.85445572867647057</v>
      </c>
      <c r="M162" s="57">
        <f t="shared" si="35"/>
        <v>0.7319249999999613</v>
      </c>
      <c r="N162" s="18">
        <f t="shared" si="36"/>
        <v>-4.3054411764703593E-3</v>
      </c>
    </row>
    <row r="163" spans="1:14" ht="15.75" customHeight="1" x14ac:dyDescent="0.25">
      <c r="A163" s="14">
        <v>175</v>
      </c>
      <c r="B163" s="13">
        <f>IF(A163&lt;5,0.99,'tax and shipping settings'!$B$2)</f>
        <v>1.27</v>
      </c>
      <c r="C163" s="11">
        <f>(A163+B163)*'tax and shipping settings'!$B$1</f>
        <v>14.718545000000002</v>
      </c>
      <c r="D163" s="13">
        <f t="shared" si="28"/>
        <v>18.067675000000001</v>
      </c>
      <c r="E163" s="13">
        <f t="shared" si="29"/>
        <v>5.0747136250000002</v>
      </c>
      <c r="F163" s="11">
        <v>4.25</v>
      </c>
      <c r="G163" s="14">
        <f t="shared" si="30"/>
        <v>148.87761137500001</v>
      </c>
      <c r="H163" s="13">
        <f t="shared" si="31"/>
        <v>20.705463625</v>
      </c>
      <c r="I163" s="11">
        <v>4.62</v>
      </c>
      <c r="J163" s="14">
        <f t="shared" si="32"/>
        <v>149.674536375</v>
      </c>
      <c r="K163" s="18">
        <f t="shared" si="33"/>
        <v>0.8507292078571429</v>
      </c>
      <c r="L163" s="18">
        <f t="shared" si="34"/>
        <v>0.85528306500000006</v>
      </c>
      <c r="M163" s="17">
        <f t="shared" si="35"/>
        <v>0.79692499999998745</v>
      </c>
      <c r="N163" s="18">
        <f t="shared" si="36"/>
        <v>-4.553857142857165E-3</v>
      </c>
    </row>
    <row r="164" spans="1:14" ht="15.75" customHeight="1" x14ac:dyDescent="0.25">
      <c r="A164" s="53">
        <v>180</v>
      </c>
      <c r="B164" s="54">
        <f>IF(A164&lt;5,0.99,'tax and shipping settings'!$B$2)</f>
        <v>1.27</v>
      </c>
      <c r="C164" s="55">
        <f>(A164+B164)*'tax and shipping settings'!$B$1</f>
        <v>15.136045000000001</v>
      </c>
      <c r="D164" s="54">
        <f t="shared" si="28"/>
        <v>18.580175000000001</v>
      </c>
      <c r="E164" s="54">
        <f t="shared" si="29"/>
        <v>5.2101511250000003</v>
      </c>
      <c r="F164" s="56">
        <v>4.25</v>
      </c>
      <c r="G164" s="53">
        <f t="shared" si="30"/>
        <v>153.229673875</v>
      </c>
      <c r="H164" s="54">
        <f t="shared" si="31"/>
        <v>21.288401125</v>
      </c>
      <c r="I164" s="56">
        <v>4.62</v>
      </c>
      <c r="J164" s="53">
        <f t="shared" si="32"/>
        <v>154.09159887499999</v>
      </c>
      <c r="K164" s="38">
        <f t="shared" si="33"/>
        <v>0.85127596597222221</v>
      </c>
      <c r="L164" s="38">
        <f t="shared" si="34"/>
        <v>0.85606443819444433</v>
      </c>
      <c r="M164" s="57">
        <f t="shared" si="35"/>
        <v>0.86192499999998518</v>
      </c>
      <c r="N164" s="18">
        <f t="shared" si="36"/>
        <v>-4.7884722222221177E-3</v>
      </c>
    </row>
    <row r="165" spans="1:14" ht="15.75" customHeight="1" x14ac:dyDescent="0.25">
      <c r="A165" s="14">
        <v>185</v>
      </c>
      <c r="B165" s="13">
        <f>IF(A165&lt;5,0.99,'tax and shipping settings'!$B$2)</f>
        <v>1.27</v>
      </c>
      <c r="C165" s="11">
        <f>(A165+B165)*'tax and shipping settings'!$B$1</f>
        <v>15.553545000000002</v>
      </c>
      <c r="D165" s="13">
        <f t="shared" si="28"/>
        <v>19.092675</v>
      </c>
      <c r="E165" s="13">
        <f t="shared" si="29"/>
        <v>5.3455886250000004</v>
      </c>
      <c r="F165" s="11">
        <v>4.25</v>
      </c>
      <c r="G165" s="14">
        <f t="shared" si="30"/>
        <v>157.58173637499999</v>
      </c>
      <c r="H165" s="13">
        <f t="shared" si="31"/>
        <v>21.871338625</v>
      </c>
      <c r="I165" s="11">
        <v>4.62</v>
      </c>
      <c r="J165" s="14">
        <f t="shared" si="32"/>
        <v>158.508661375</v>
      </c>
      <c r="K165" s="18">
        <f t="shared" si="33"/>
        <v>0.8517931695945945</v>
      </c>
      <c r="L165" s="18">
        <f t="shared" si="34"/>
        <v>0.85680357500000004</v>
      </c>
      <c r="M165" s="17">
        <f t="shared" si="35"/>
        <v>0.92692500000001132</v>
      </c>
      <c r="N165" s="18">
        <f t="shared" si="36"/>
        <v>-5.010405405405538E-3</v>
      </c>
    </row>
    <row r="166" spans="1:14" ht="15.75" customHeight="1" x14ac:dyDescent="0.25">
      <c r="A166" s="53">
        <v>190</v>
      </c>
      <c r="B166" s="54">
        <f>IF(A166&lt;5,0.99,'tax and shipping settings'!$B$2)</f>
        <v>1.27</v>
      </c>
      <c r="C166" s="55">
        <f>(A166+B166)*'tax and shipping settings'!$B$1</f>
        <v>15.971045000000002</v>
      </c>
      <c r="D166" s="54">
        <f t="shared" si="28"/>
        <v>19.605174999999999</v>
      </c>
      <c r="E166" s="54">
        <f t="shared" si="29"/>
        <v>5.4810261250000005</v>
      </c>
      <c r="F166" s="56">
        <v>4.25</v>
      </c>
      <c r="G166" s="53">
        <f t="shared" si="30"/>
        <v>161.93379887500001</v>
      </c>
      <c r="H166" s="54">
        <f t="shared" si="31"/>
        <v>22.454276125</v>
      </c>
      <c r="I166" s="56">
        <v>4.62</v>
      </c>
      <c r="J166" s="53">
        <f t="shared" si="32"/>
        <v>162.92572387499999</v>
      </c>
      <c r="K166" s="38">
        <f t="shared" si="33"/>
        <v>0.85228315197368421</v>
      </c>
      <c r="L166" s="38">
        <f t="shared" si="34"/>
        <v>0.85750380986842101</v>
      </c>
      <c r="M166" s="57">
        <f t="shared" si="35"/>
        <v>0.99192499999998063</v>
      </c>
      <c r="N166" s="18">
        <f t="shared" si="36"/>
        <v>-5.2206578947368021E-3</v>
      </c>
    </row>
    <row r="167" spans="1:14" ht="15.75" customHeight="1" x14ac:dyDescent="0.25">
      <c r="A167" s="14">
        <v>195</v>
      </c>
      <c r="B167" s="13">
        <f>IF(A167&lt;5,0.99,'tax and shipping settings'!$B$2)</f>
        <v>1.27</v>
      </c>
      <c r="C167" s="11">
        <f>(A167+B167)*'tax and shipping settings'!$B$1</f>
        <v>16.388545000000001</v>
      </c>
      <c r="D167" s="13">
        <f t="shared" si="28"/>
        <v>20.117674999999998</v>
      </c>
      <c r="E167" s="13">
        <f t="shared" si="29"/>
        <v>5.6164636250000006</v>
      </c>
      <c r="F167" s="11">
        <v>4.25</v>
      </c>
      <c r="G167" s="14">
        <f t="shared" si="30"/>
        <v>166.28586137500002</v>
      </c>
      <c r="H167" s="13">
        <f t="shared" si="31"/>
        <v>23.037213625</v>
      </c>
      <c r="I167" s="11">
        <v>4.62</v>
      </c>
      <c r="J167" s="14">
        <f t="shared" si="32"/>
        <v>167.342786375</v>
      </c>
      <c r="K167" s="18">
        <f t="shared" si="33"/>
        <v>0.85274800705128218</v>
      </c>
      <c r="L167" s="18">
        <f t="shared" si="34"/>
        <v>0.85816813525641022</v>
      </c>
      <c r="M167" s="17">
        <f t="shared" si="35"/>
        <v>1.0569249999999784</v>
      </c>
      <c r="N167" s="18">
        <f t="shared" si="36"/>
        <v>-5.4201282051280497E-3</v>
      </c>
    </row>
    <row r="168" spans="1:14" ht="15.75" customHeight="1" x14ac:dyDescent="0.25">
      <c r="A168" s="53">
        <v>200</v>
      </c>
      <c r="B168" s="54">
        <f>IF(A168&lt;5,0.99,'tax and shipping settings'!$B$2)</f>
        <v>1.27</v>
      </c>
      <c r="C168" s="55">
        <f>(A168+B168)*'tax and shipping settings'!$B$1</f>
        <v>16.806045000000001</v>
      </c>
      <c r="D168" s="54">
        <f t="shared" si="28"/>
        <v>20.630175000000001</v>
      </c>
      <c r="E168" s="54">
        <f t="shared" si="29"/>
        <v>5.7519011250000007</v>
      </c>
      <c r="F168" s="56">
        <v>4.25</v>
      </c>
      <c r="G168" s="53">
        <f t="shared" si="30"/>
        <v>170.63792387500001</v>
      </c>
      <c r="H168" s="54">
        <f t="shared" si="31"/>
        <v>23.620151125</v>
      </c>
      <c r="I168" s="56">
        <v>4.62</v>
      </c>
      <c r="J168" s="53">
        <f t="shared" si="32"/>
        <v>171.75984887499999</v>
      </c>
      <c r="K168" s="38">
        <f t="shared" si="33"/>
        <v>0.85318961937500004</v>
      </c>
      <c r="L168" s="38">
        <f t="shared" si="34"/>
        <v>0.85879924437499999</v>
      </c>
      <c r="M168" s="57">
        <f t="shared" si="35"/>
        <v>1.1219249999999761</v>
      </c>
      <c r="N168" s="18">
        <f t="shared" si="36"/>
        <v>-5.6096249999999515E-3</v>
      </c>
    </row>
    <row r="169" spans="1:14" ht="15.75" customHeight="1" x14ac:dyDescent="0.25">
      <c r="A169" s="14">
        <v>205</v>
      </c>
      <c r="B169" s="13">
        <f>IF(A169&lt;5,0.99,'tax and shipping settings'!$B$2)</f>
        <v>1.27</v>
      </c>
      <c r="C169" s="11">
        <f>(A169+B169)*'tax and shipping settings'!$B$1</f>
        <v>17.223545000000001</v>
      </c>
      <c r="D169" s="13">
        <f t="shared" si="28"/>
        <v>21.142675000000001</v>
      </c>
      <c r="E169" s="13">
        <f t="shared" si="29"/>
        <v>5.8873386250000008</v>
      </c>
      <c r="F169" s="11">
        <v>4.25</v>
      </c>
      <c r="G169" s="14">
        <f t="shared" si="30"/>
        <v>174.989986375</v>
      </c>
      <c r="H169" s="13">
        <f t="shared" si="31"/>
        <v>24.203088624999999</v>
      </c>
      <c r="I169" s="11">
        <v>4.62</v>
      </c>
      <c r="J169" s="14">
        <f t="shared" si="32"/>
        <v>176.176911375</v>
      </c>
      <c r="K169" s="18">
        <f t="shared" si="33"/>
        <v>0.8536096896341463</v>
      </c>
      <c r="L169" s="18">
        <f t="shared" si="34"/>
        <v>0.8593995676829268</v>
      </c>
      <c r="M169" s="17">
        <f t="shared" si="35"/>
        <v>1.1869250000000022</v>
      </c>
      <c r="N169" s="18">
        <f t="shared" si="36"/>
        <v>-5.7898780487805057E-3</v>
      </c>
    </row>
    <row r="170" spans="1:14" ht="15.75" customHeight="1" x14ac:dyDescent="0.25">
      <c r="A170" s="53">
        <v>210</v>
      </c>
      <c r="B170" s="54">
        <f>IF(A170&lt;5,0.99,'tax and shipping settings'!$B$2)</f>
        <v>1.27</v>
      </c>
      <c r="C170" s="55">
        <f>(A170+B170)*'tax and shipping settings'!$B$1</f>
        <v>17.641045000000002</v>
      </c>
      <c r="D170" s="54">
        <f t="shared" si="28"/>
        <v>21.655175</v>
      </c>
      <c r="E170" s="54">
        <f t="shared" si="29"/>
        <v>6.022776125</v>
      </c>
      <c r="F170" s="56">
        <v>4.25</v>
      </c>
      <c r="G170" s="53">
        <f t="shared" si="30"/>
        <v>179.34204887499999</v>
      </c>
      <c r="H170" s="54">
        <f t="shared" si="31"/>
        <v>24.786026124999999</v>
      </c>
      <c r="I170" s="56">
        <v>4.62</v>
      </c>
      <c r="J170" s="53">
        <f t="shared" si="32"/>
        <v>180.59397387499999</v>
      </c>
      <c r="K170" s="38">
        <f t="shared" si="33"/>
        <v>0.85400975654761901</v>
      </c>
      <c r="L170" s="38">
        <f t="shared" si="34"/>
        <v>0.85997130416666656</v>
      </c>
      <c r="M170" s="57">
        <f t="shared" si="35"/>
        <v>1.251925</v>
      </c>
      <c r="N170" s="18">
        <f t="shared" si="36"/>
        <v>-5.9615476190475469E-3</v>
      </c>
    </row>
    <row r="171" spans="1:14" ht="15.75" customHeight="1" x14ac:dyDescent="0.25">
      <c r="A171" s="14">
        <v>215</v>
      </c>
      <c r="B171" s="13">
        <f>IF(A171&lt;5,0.99,'tax and shipping settings'!$B$2)</f>
        <v>1.27</v>
      </c>
      <c r="C171" s="11">
        <f>(A171+B171)*'tax and shipping settings'!$B$1</f>
        <v>18.058545000000002</v>
      </c>
      <c r="D171" s="13">
        <f t="shared" si="28"/>
        <v>22.167674999999999</v>
      </c>
      <c r="E171" s="13">
        <f t="shared" si="29"/>
        <v>6.158213625000001</v>
      </c>
      <c r="F171" s="11">
        <v>4.25</v>
      </c>
      <c r="G171" s="14">
        <f t="shared" si="30"/>
        <v>183.69411137500001</v>
      </c>
      <c r="H171" s="13">
        <f t="shared" si="31"/>
        <v>25.368963624999999</v>
      </c>
      <c r="I171" s="11">
        <v>4.62</v>
      </c>
      <c r="J171" s="14">
        <f t="shared" si="32"/>
        <v>185.011036375</v>
      </c>
      <c r="K171" s="18">
        <f t="shared" si="33"/>
        <v>0.8543912156976744</v>
      </c>
      <c r="L171" s="18">
        <f t="shared" si="34"/>
        <v>0.86051644825581397</v>
      </c>
      <c r="M171" s="17">
        <f t="shared" si="35"/>
        <v>1.3169249999999977</v>
      </c>
      <c r="N171" s="18">
        <f t="shared" si="36"/>
        <v>-6.1252325581395706E-3</v>
      </c>
    </row>
    <row r="172" spans="1:14" ht="15.75" customHeight="1" x14ac:dyDescent="0.25">
      <c r="A172" s="53">
        <v>220</v>
      </c>
      <c r="B172" s="54">
        <f>IF(A172&lt;5,0.99,'tax and shipping settings'!$B$2)</f>
        <v>1.27</v>
      </c>
      <c r="C172" s="55">
        <f>(A172+B172)*'tax and shipping settings'!$B$1</f>
        <v>18.476045000000003</v>
      </c>
      <c r="D172" s="54">
        <f t="shared" si="28"/>
        <v>22.680174999999998</v>
      </c>
      <c r="E172" s="54">
        <f t="shared" si="29"/>
        <v>6.2936511250000002</v>
      </c>
      <c r="F172" s="56">
        <v>4.25</v>
      </c>
      <c r="G172" s="53">
        <f t="shared" si="30"/>
        <v>188.04617387500002</v>
      </c>
      <c r="H172" s="54">
        <f t="shared" si="31"/>
        <v>25.951901124999999</v>
      </c>
      <c r="I172" s="56">
        <v>4.62</v>
      </c>
      <c r="J172" s="53">
        <f t="shared" si="32"/>
        <v>189.42809887499999</v>
      </c>
      <c r="K172" s="38">
        <f t="shared" si="33"/>
        <v>0.8547553357954546</v>
      </c>
      <c r="L172" s="38">
        <f t="shared" si="34"/>
        <v>0.86103681306818181</v>
      </c>
      <c r="M172" s="57">
        <f t="shared" si="35"/>
        <v>1.381924999999967</v>
      </c>
      <c r="N172" s="18">
        <f t="shared" si="36"/>
        <v>-6.2814772727272095E-3</v>
      </c>
    </row>
    <row r="173" spans="1:14" ht="15.75" customHeight="1" x14ac:dyDescent="0.25">
      <c r="A173" s="14">
        <v>225</v>
      </c>
      <c r="B173" s="13">
        <f>IF(A173&lt;5,0.99,'tax and shipping settings'!$B$2)</f>
        <v>1.27</v>
      </c>
      <c r="C173" s="11">
        <f>(A173+B173)*'tax and shipping settings'!$B$1</f>
        <v>18.893545000000003</v>
      </c>
      <c r="D173" s="13">
        <f t="shared" si="28"/>
        <v>23.192675000000001</v>
      </c>
      <c r="E173" s="13">
        <f t="shared" si="29"/>
        <v>6.4290886250000003</v>
      </c>
      <c r="F173" s="11">
        <v>4.25</v>
      </c>
      <c r="G173" s="14">
        <f t="shared" si="30"/>
        <v>192.39823637500001</v>
      </c>
      <c r="H173" s="13">
        <f t="shared" si="31"/>
        <v>26.534838624999999</v>
      </c>
      <c r="I173" s="11">
        <v>4.62</v>
      </c>
      <c r="J173" s="14">
        <f t="shared" si="32"/>
        <v>193.845161375</v>
      </c>
      <c r="K173" s="18">
        <f t="shared" si="33"/>
        <v>0.85510327277777787</v>
      </c>
      <c r="L173" s="18">
        <f t="shared" si="34"/>
        <v>0.86153405055555554</v>
      </c>
      <c r="M173" s="17">
        <f t="shared" si="35"/>
        <v>1.4469249999999931</v>
      </c>
      <c r="N173" s="18">
        <f t="shared" si="36"/>
        <v>-6.4307777777776742E-3</v>
      </c>
    </row>
    <row r="174" spans="1:14" ht="15.75" customHeight="1" x14ac:dyDescent="0.25">
      <c r="A174" s="53">
        <v>230</v>
      </c>
      <c r="B174" s="54">
        <f>IF(A174&lt;5,0.99,'tax and shipping settings'!$B$2)</f>
        <v>1.27</v>
      </c>
      <c r="C174" s="55">
        <f>(A174+B174)*'tax and shipping settings'!$B$1</f>
        <v>19.311045000000004</v>
      </c>
      <c r="D174" s="54">
        <f t="shared" si="28"/>
        <v>23.705175000000001</v>
      </c>
      <c r="E174" s="54">
        <f t="shared" si="29"/>
        <v>6.5645261250000004</v>
      </c>
      <c r="F174" s="56">
        <v>4.25</v>
      </c>
      <c r="G174" s="53">
        <f t="shared" si="30"/>
        <v>196.750298875</v>
      </c>
      <c r="H174" s="54">
        <f t="shared" si="31"/>
        <v>27.117776125000002</v>
      </c>
      <c r="I174" s="56">
        <v>4.62</v>
      </c>
      <c r="J174" s="53">
        <f t="shared" si="32"/>
        <v>198.26222387499999</v>
      </c>
      <c r="K174" s="38">
        <f t="shared" si="33"/>
        <v>0.85543608206521737</v>
      </c>
      <c r="L174" s="38">
        <f t="shared" si="34"/>
        <v>0.86200966902173903</v>
      </c>
      <c r="M174" s="57">
        <f t="shared" si="35"/>
        <v>1.5119249999999909</v>
      </c>
      <c r="N174" s="18">
        <f t="shared" si="36"/>
        <v>-6.5735869565216598E-3</v>
      </c>
    </row>
    <row r="175" spans="1:14" ht="15.75" customHeight="1" x14ac:dyDescent="0.25">
      <c r="A175" s="14">
        <v>235</v>
      </c>
      <c r="B175" s="13">
        <f>IF(A175&lt;5,0.99,'tax and shipping settings'!$B$2)</f>
        <v>1.27</v>
      </c>
      <c r="C175" s="11">
        <f>(A175+B175)*'tax and shipping settings'!$B$1</f>
        <v>19.728545</v>
      </c>
      <c r="D175" s="13">
        <f t="shared" si="28"/>
        <v>24.217675</v>
      </c>
      <c r="E175" s="13">
        <f t="shared" si="29"/>
        <v>6.6999636250000005</v>
      </c>
      <c r="F175" s="11">
        <v>4.25</v>
      </c>
      <c r="G175" s="14">
        <f t="shared" si="30"/>
        <v>201.10236137499999</v>
      </c>
      <c r="H175" s="13">
        <f t="shared" si="31"/>
        <v>27.700713624999999</v>
      </c>
      <c r="I175" s="11">
        <v>4.62</v>
      </c>
      <c r="J175" s="14">
        <f t="shared" si="32"/>
        <v>202.679286375</v>
      </c>
      <c r="K175" s="18">
        <f t="shared" si="33"/>
        <v>0.85575472925531915</v>
      </c>
      <c r="L175" s="18">
        <f t="shared" si="34"/>
        <v>0.86246504840425531</v>
      </c>
      <c r="M175" s="17">
        <f t="shared" si="35"/>
        <v>1.576925000000017</v>
      </c>
      <c r="N175" s="18">
        <f t="shared" si="36"/>
        <v>-6.7103191489361613E-3</v>
      </c>
    </row>
    <row r="176" spans="1:14" ht="15.75" customHeight="1" x14ac:dyDescent="0.25">
      <c r="A176" s="53">
        <v>240</v>
      </c>
      <c r="B176" s="54">
        <f>IF(A176&lt;5,0.99,'tax and shipping settings'!$B$2)</f>
        <v>1.27</v>
      </c>
      <c r="C176" s="55">
        <f>(A176+B176)*'tax and shipping settings'!$B$1</f>
        <v>20.146045000000001</v>
      </c>
      <c r="D176" s="54">
        <f t="shared" si="28"/>
        <v>24.730174999999999</v>
      </c>
      <c r="E176" s="54">
        <f t="shared" si="29"/>
        <v>6.8354011249999997</v>
      </c>
      <c r="F176" s="56">
        <v>4.25</v>
      </c>
      <c r="G176" s="53">
        <f t="shared" si="30"/>
        <v>205.454423875</v>
      </c>
      <c r="H176" s="54">
        <f t="shared" si="31"/>
        <v>28.283651125000002</v>
      </c>
      <c r="I176" s="56">
        <v>4.62</v>
      </c>
      <c r="J176" s="53">
        <f t="shared" si="32"/>
        <v>207.09634887499999</v>
      </c>
      <c r="K176" s="38">
        <f t="shared" si="33"/>
        <v>0.85606009947916673</v>
      </c>
      <c r="L176" s="38">
        <f t="shared" si="34"/>
        <v>0.86290145364583326</v>
      </c>
      <c r="M176" s="57">
        <f t="shared" si="35"/>
        <v>1.6419249999999863</v>
      </c>
      <c r="N176" s="18">
        <f t="shared" si="36"/>
        <v>-6.8413541666665356E-3</v>
      </c>
    </row>
    <row r="177" spans="1:14" ht="15.75" customHeight="1" x14ac:dyDescent="0.25">
      <c r="A177" s="14">
        <v>245</v>
      </c>
      <c r="B177" s="13">
        <f>IF(A177&lt;5,0.99,'tax and shipping settings'!$B$2)</f>
        <v>1.27</v>
      </c>
      <c r="C177" s="11">
        <f>(A177+B177)*'tax and shipping settings'!$B$1</f>
        <v>20.563545000000001</v>
      </c>
      <c r="D177" s="13">
        <f t="shared" si="28"/>
        <v>25.242674999999998</v>
      </c>
      <c r="E177" s="13">
        <f t="shared" si="29"/>
        <v>6.9708386250000007</v>
      </c>
      <c r="F177" s="11">
        <v>4.25</v>
      </c>
      <c r="G177" s="14">
        <f t="shared" si="30"/>
        <v>209.80648637500002</v>
      </c>
      <c r="H177" s="13">
        <f t="shared" si="31"/>
        <v>28.866588624999999</v>
      </c>
      <c r="I177" s="11">
        <v>4.62</v>
      </c>
      <c r="J177" s="14">
        <f t="shared" si="32"/>
        <v>211.513411375</v>
      </c>
      <c r="K177" s="18">
        <f t="shared" si="33"/>
        <v>0.85635300561224503</v>
      </c>
      <c r="L177" s="18">
        <f t="shared" si="34"/>
        <v>0.86332004642857141</v>
      </c>
      <c r="M177" s="17">
        <f t="shared" si="35"/>
        <v>1.706924999999984</v>
      </c>
      <c r="N177" s="18">
        <f t="shared" si="36"/>
        <v>-6.9670408163263753E-3</v>
      </c>
    </row>
    <row r="178" spans="1:14" ht="15.75" customHeight="1" x14ac:dyDescent="0.25">
      <c r="A178" s="58">
        <v>249.99</v>
      </c>
      <c r="B178" s="54">
        <f>IF(A178&lt;5,0.99,'tax and shipping settings'!$B$2)</f>
        <v>1.27</v>
      </c>
      <c r="C178" s="55">
        <f>(A178+B178)*'tax and shipping settings'!$B$1</f>
        <v>20.980210000000003</v>
      </c>
      <c r="D178" s="54">
        <f t="shared" si="28"/>
        <v>25.754149999999999</v>
      </c>
      <c r="E178" s="54">
        <f t="shared" si="29"/>
        <v>7.1060052500000017</v>
      </c>
      <c r="F178" s="56">
        <v>4.25</v>
      </c>
      <c r="G178" s="53">
        <f t="shared" si="30"/>
        <v>214.14984475</v>
      </c>
      <c r="H178" s="54">
        <f t="shared" si="31"/>
        <v>29.44836025</v>
      </c>
      <c r="I178" s="56">
        <v>4.62</v>
      </c>
      <c r="J178" s="53">
        <f t="shared" si="32"/>
        <v>215.92163975</v>
      </c>
      <c r="K178" s="38">
        <f t="shared" si="33"/>
        <v>0.85663364434577383</v>
      </c>
      <c r="L178" s="38">
        <f t="shared" si="34"/>
        <v>0.86372110784431377</v>
      </c>
      <c r="M178" s="57">
        <f t="shared" si="35"/>
        <v>1.7717949999999973</v>
      </c>
      <c r="N178" s="18">
        <f t="shared" si="36"/>
        <v>-7.0874634985399476E-3</v>
      </c>
    </row>
    <row r="179" spans="1:14" ht="15.75" customHeight="1" x14ac:dyDescent="0.25">
      <c r="A179" s="59">
        <v>250</v>
      </c>
      <c r="B179" s="31">
        <f>IF(A179&lt;5,0.99,'tax and shipping settings'!$B$2)</f>
        <v>1.27</v>
      </c>
      <c r="C179" s="32">
        <f>(A179+B179)*'tax and shipping settings'!$B$1</f>
        <v>20.981045000000002</v>
      </c>
      <c r="D179" s="31">
        <f t="shared" si="28"/>
        <v>25.755175000000001</v>
      </c>
      <c r="E179" s="31">
        <f t="shared" si="29"/>
        <v>7.1062761250000008</v>
      </c>
      <c r="F179" s="47">
        <v>7</v>
      </c>
      <c r="G179" s="60">
        <f t="shared" si="30"/>
        <v>211.40854887500001</v>
      </c>
      <c r="H179" s="61">
        <f t="shared" si="31"/>
        <v>29.449526124999998</v>
      </c>
      <c r="I179" s="62">
        <v>8.26</v>
      </c>
      <c r="J179" s="63">
        <f t="shared" si="32"/>
        <v>212.290473875</v>
      </c>
      <c r="K179" s="64">
        <f t="shared" si="33"/>
        <v>0.84563419550000007</v>
      </c>
      <c r="L179" s="64">
        <f t="shared" si="34"/>
        <v>0.84916189549999999</v>
      </c>
      <c r="M179" s="65">
        <f t="shared" si="35"/>
        <v>0.88192499999999541</v>
      </c>
      <c r="N179" s="66">
        <f t="shared" si="36"/>
        <v>-3.5276999999999115E-3</v>
      </c>
    </row>
    <row r="180" spans="1:14" ht="15.75" customHeight="1" x14ac:dyDescent="0.25">
      <c r="A180" s="58">
        <v>254.11</v>
      </c>
      <c r="B180" s="54">
        <f>IF(A180&lt;5,0.99,'tax and shipping settings'!$B$2)</f>
        <v>1.27</v>
      </c>
      <c r="C180" s="55">
        <f>(A180+B180)*'tax and shipping settings'!$B$1</f>
        <v>21.324230000000004</v>
      </c>
      <c r="D180" s="54">
        <f t="shared" si="28"/>
        <v>26.176450000000003</v>
      </c>
      <c r="E180" s="54">
        <f t="shared" si="29"/>
        <v>7.2176057500000015</v>
      </c>
      <c r="F180" s="56">
        <v>7</v>
      </c>
      <c r="G180" s="53">
        <f t="shared" si="30"/>
        <v>214.98594425000002</v>
      </c>
      <c r="H180" s="54">
        <f t="shared" ref="H180:H194" si="37">0.3 + ($A180+$C180)*(0.025) + MIN(50,$A180*(0.0895))</f>
        <v>29.928700750000001</v>
      </c>
      <c r="I180" s="67">
        <v>8.26</v>
      </c>
      <c r="J180" s="53">
        <f t="shared" si="32"/>
        <v>215.92129925000003</v>
      </c>
      <c r="K180" s="38">
        <f t="shared" si="33"/>
        <v>0.84603496222108543</v>
      </c>
      <c r="L180" s="38">
        <f t="shared" si="34"/>
        <v>0.84971586812797617</v>
      </c>
      <c r="M180" s="57">
        <f t="shared" si="35"/>
        <v>0.93535500000001548</v>
      </c>
      <c r="N180" s="18">
        <f t="shared" si="36"/>
        <v>-3.6809059068907413E-3</v>
      </c>
    </row>
    <row r="181" spans="1:14" ht="15.75" customHeight="1" x14ac:dyDescent="0.25">
      <c r="A181" s="34">
        <v>290</v>
      </c>
      <c r="B181" s="13">
        <f>IF(A181&lt;5,0.99,'tax and shipping settings'!$B$2)</f>
        <v>1.27</v>
      </c>
      <c r="C181" s="11">
        <f>(A181+B181)*'tax and shipping settings'!$B$1</f>
        <v>24.321045000000002</v>
      </c>
      <c r="D181" s="13">
        <f t="shared" si="28"/>
        <v>29.855174999999996</v>
      </c>
      <c r="E181" s="13">
        <f t="shared" si="29"/>
        <v>8.1897761250000016</v>
      </c>
      <c r="F181" s="11">
        <v>7</v>
      </c>
      <c r="G181" s="14">
        <f t="shared" si="30"/>
        <v>246.225048875</v>
      </c>
      <c r="H181" s="13">
        <f t="shared" si="37"/>
        <v>34.113026124999998</v>
      </c>
      <c r="I181" s="11">
        <v>8.26</v>
      </c>
      <c r="J181" s="14">
        <f t="shared" si="32"/>
        <v>247.626973875</v>
      </c>
      <c r="K181" s="18">
        <f t="shared" si="33"/>
        <v>0.84905189267241377</v>
      </c>
      <c r="L181" s="18">
        <f t="shared" si="34"/>
        <v>0.85388611681034488</v>
      </c>
      <c r="M181" s="17">
        <f t="shared" si="35"/>
        <v>1.4019250000000056</v>
      </c>
      <c r="N181" s="18">
        <f t="shared" si="36"/>
        <v>-4.8342241379311091E-3</v>
      </c>
    </row>
    <row r="182" spans="1:14" ht="15.75" customHeight="1" x14ac:dyDescent="0.25">
      <c r="A182" s="68">
        <v>440</v>
      </c>
      <c r="B182" s="54">
        <f>IF(A182&lt;5,0.99,'tax and shipping settings'!$B$2)</f>
        <v>1.27</v>
      </c>
      <c r="C182" s="55">
        <f>(A182+B182)*'tax and shipping settings'!$B$1</f>
        <v>36.846045000000004</v>
      </c>
      <c r="D182" s="54">
        <f t="shared" si="28"/>
        <v>45.230174999999996</v>
      </c>
      <c r="E182" s="54">
        <f t="shared" si="29"/>
        <v>12.252901125000001</v>
      </c>
      <c r="F182" s="56">
        <v>7</v>
      </c>
      <c r="G182" s="53">
        <f t="shared" si="30"/>
        <v>376.78692387500001</v>
      </c>
      <c r="H182" s="54">
        <f t="shared" si="37"/>
        <v>51.601151125000001</v>
      </c>
      <c r="I182" s="67">
        <v>8.26</v>
      </c>
      <c r="J182" s="53">
        <f t="shared" si="32"/>
        <v>380.13884887500001</v>
      </c>
      <c r="K182" s="38">
        <f t="shared" si="33"/>
        <v>0.85633391789772728</v>
      </c>
      <c r="L182" s="38">
        <f t="shared" si="34"/>
        <v>0.86395192926136366</v>
      </c>
      <c r="M182" s="57">
        <f t="shared" si="35"/>
        <v>3.3519249999999943</v>
      </c>
      <c r="N182" s="18">
        <f t="shared" si="36"/>
        <v>-7.6180113636363789E-3</v>
      </c>
    </row>
    <row r="183" spans="1:14" ht="15.75" customHeight="1" x14ac:dyDescent="0.25">
      <c r="A183" s="34">
        <v>550</v>
      </c>
      <c r="B183" s="13">
        <f>IF(A183&lt;5,0.99,'tax and shipping settings'!$B$2)</f>
        <v>1.27</v>
      </c>
      <c r="C183" s="11">
        <f>(A183+B183)*'tax and shipping settings'!$B$1</f>
        <v>46.031044999999999</v>
      </c>
      <c r="D183" s="13">
        <f t="shared" si="28"/>
        <v>50</v>
      </c>
      <c r="E183" s="13">
        <f t="shared" si="29"/>
        <v>15.232526125</v>
      </c>
      <c r="F183" s="11">
        <v>7</v>
      </c>
      <c r="G183" s="14">
        <f t="shared" si="30"/>
        <v>479.03747387499999</v>
      </c>
      <c r="H183" s="13">
        <f t="shared" si="37"/>
        <v>64.425776124999999</v>
      </c>
      <c r="I183" s="11">
        <v>8.26</v>
      </c>
      <c r="J183" s="14">
        <f t="shared" si="32"/>
        <v>477.31422387500004</v>
      </c>
      <c r="K183" s="18">
        <f t="shared" si="33"/>
        <v>0.87097722522727272</v>
      </c>
      <c r="L183" s="18">
        <f t="shared" si="34"/>
        <v>0.86784404340909094</v>
      </c>
      <c r="M183" s="17">
        <f t="shared" si="35"/>
        <v>-1.7232499999999504</v>
      </c>
      <c r="N183" s="18">
        <f t="shared" si="36"/>
        <v>3.133181818181785E-3</v>
      </c>
    </row>
    <row r="184" spans="1:14" ht="15.75" customHeight="1" x14ac:dyDescent="0.25">
      <c r="A184" s="68">
        <v>750</v>
      </c>
      <c r="B184" s="54">
        <f>IF(A184&lt;5,0.99,'tax and shipping settings'!$B$2)</f>
        <v>1.27</v>
      </c>
      <c r="C184" s="55">
        <f>(A184+B184)*'tax and shipping settings'!$B$1</f>
        <v>62.731045000000002</v>
      </c>
      <c r="D184" s="54">
        <f t="shared" si="28"/>
        <v>50</v>
      </c>
      <c r="E184" s="54">
        <f t="shared" si="29"/>
        <v>20.650026125</v>
      </c>
      <c r="F184" s="56">
        <v>7</v>
      </c>
      <c r="G184" s="53">
        <f t="shared" si="30"/>
        <v>673.61997387500003</v>
      </c>
      <c r="H184" s="54">
        <f t="shared" si="37"/>
        <v>70.618276124999994</v>
      </c>
      <c r="I184" s="67">
        <v>8.26</v>
      </c>
      <c r="J184" s="53">
        <f t="shared" si="32"/>
        <v>671.12172387500004</v>
      </c>
      <c r="K184" s="38">
        <f t="shared" si="33"/>
        <v>0.89815996516666674</v>
      </c>
      <c r="L184" s="38">
        <f t="shared" si="34"/>
        <v>0.89482896516666677</v>
      </c>
      <c r="M184" s="57">
        <f t="shared" si="35"/>
        <v>-2.4982499999999845</v>
      </c>
      <c r="N184" s="18">
        <f t="shared" si="36"/>
        <v>3.3309999999999729E-3</v>
      </c>
    </row>
    <row r="185" spans="1:14" ht="15.75" customHeight="1" x14ac:dyDescent="0.25">
      <c r="A185" s="34">
        <v>775</v>
      </c>
      <c r="B185" s="13">
        <f>IF(A185&lt;5,0.99,'tax and shipping settings'!$B$2)</f>
        <v>1.27</v>
      </c>
      <c r="C185" s="11">
        <f>(A185+B185)*'tax and shipping settings'!$B$1</f>
        <v>64.818545</v>
      </c>
      <c r="D185" s="13">
        <f t="shared" si="28"/>
        <v>50</v>
      </c>
      <c r="E185" s="13">
        <f t="shared" si="29"/>
        <v>21.327213625000002</v>
      </c>
      <c r="F185" s="11">
        <v>7</v>
      </c>
      <c r="G185" s="14">
        <f t="shared" si="30"/>
        <v>697.94278637499997</v>
      </c>
      <c r="H185" s="13">
        <f t="shared" si="37"/>
        <v>71.295463624999996</v>
      </c>
      <c r="I185" s="11">
        <v>8.26</v>
      </c>
      <c r="J185" s="14">
        <f t="shared" si="32"/>
        <v>695.44453637499998</v>
      </c>
      <c r="K185" s="18">
        <f t="shared" si="33"/>
        <v>0.90057133725806449</v>
      </c>
      <c r="L185" s="18">
        <f t="shared" si="34"/>
        <v>0.89734778887096767</v>
      </c>
      <c r="M185" s="17">
        <f t="shared" si="35"/>
        <v>-2.4982499999999845</v>
      </c>
      <c r="N185" s="18">
        <f t="shared" si="36"/>
        <v>3.2235483870968196E-3</v>
      </c>
    </row>
    <row r="186" spans="1:14" ht="15.75" customHeight="1" x14ac:dyDescent="0.25">
      <c r="A186" s="68">
        <v>800</v>
      </c>
      <c r="B186" s="54">
        <f>IF(A186&lt;5,0.99,'tax and shipping settings'!$B$2)</f>
        <v>1.27</v>
      </c>
      <c r="C186" s="55">
        <f>(A186+B186)*'tax and shipping settings'!$B$1</f>
        <v>66.906045000000006</v>
      </c>
      <c r="D186" s="54">
        <f t="shared" si="28"/>
        <v>50</v>
      </c>
      <c r="E186" s="54">
        <f t="shared" si="29"/>
        <v>22.004401125000001</v>
      </c>
      <c r="F186" s="56">
        <v>7</v>
      </c>
      <c r="G186" s="53">
        <f t="shared" si="30"/>
        <v>722.26559887500002</v>
      </c>
      <c r="H186" s="54">
        <f t="shared" si="37"/>
        <v>71.972651124999999</v>
      </c>
      <c r="I186" s="67">
        <v>8.26</v>
      </c>
      <c r="J186" s="53">
        <f t="shared" si="32"/>
        <v>719.76734887500004</v>
      </c>
      <c r="K186" s="38">
        <f t="shared" si="33"/>
        <v>0.90283199859375007</v>
      </c>
      <c r="L186" s="38">
        <f t="shared" si="34"/>
        <v>0.89970918609375006</v>
      </c>
      <c r="M186" s="57">
        <f t="shared" si="35"/>
        <v>-2.4982499999999845</v>
      </c>
      <c r="N186" s="18">
        <f t="shared" si="36"/>
        <v>3.1228125000000162E-3</v>
      </c>
    </row>
    <row r="187" spans="1:14" ht="15.75" customHeight="1" x14ac:dyDescent="0.25">
      <c r="A187" s="34">
        <v>825</v>
      </c>
      <c r="B187" s="13">
        <f>IF(A187&lt;5,0.99,'tax and shipping settings'!$B$2)</f>
        <v>1.27</v>
      </c>
      <c r="C187" s="11">
        <f>(A187+B187)*'tax and shipping settings'!$B$1</f>
        <v>68.993544999999997</v>
      </c>
      <c r="D187" s="13">
        <f t="shared" si="28"/>
        <v>50</v>
      </c>
      <c r="E187" s="13">
        <f t="shared" si="29"/>
        <v>22.681588625000003</v>
      </c>
      <c r="F187" s="11">
        <v>7</v>
      </c>
      <c r="G187" s="14">
        <f t="shared" si="30"/>
        <v>746.58841137499996</v>
      </c>
      <c r="H187" s="13">
        <f t="shared" si="37"/>
        <v>72.649838625000001</v>
      </c>
      <c r="I187" s="11">
        <v>8.26</v>
      </c>
      <c r="J187" s="14">
        <f t="shared" si="32"/>
        <v>744.09016137499998</v>
      </c>
      <c r="K187" s="18">
        <f t="shared" si="33"/>
        <v>0.90495565015151513</v>
      </c>
      <c r="L187" s="18">
        <f t="shared" si="34"/>
        <v>0.90192746833333326</v>
      </c>
      <c r="M187" s="17">
        <f t="shared" si="35"/>
        <v>-2.4982499999999845</v>
      </c>
      <c r="N187" s="18">
        <f t="shared" si="36"/>
        <v>3.0281818181818743E-3</v>
      </c>
    </row>
    <row r="188" spans="1:14" ht="15.75" customHeight="1" x14ac:dyDescent="0.25">
      <c r="A188" s="68">
        <v>850</v>
      </c>
      <c r="B188" s="54">
        <f>IF(A188&lt;5,0.99,'tax and shipping settings'!$B$2)</f>
        <v>1.27</v>
      </c>
      <c r="C188" s="55">
        <f>(A188+B188)*'tax and shipping settings'!$B$1</f>
        <v>71.081045000000003</v>
      </c>
      <c r="D188" s="54">
        <f t="shared" si="28"/>
        <v>50</v>
      </c>
      <c r="E188" s="54">
        <f t="shared" si="29"/>
        <v>23.358776125000002</v>
      </c>
      <c r="F188" s="56">
        <v>7</v>
      </c>
      <c r="G188" s="53">
        <f t="shared" si="30"/>
        <v>770.91122387500002</v>
      </c>
      <c r="H188" s="54">
        <f t="shared" si="37"/>
        <v>73.327026125000003</v>
      </c>
      <c r="I188" s="67">
        <v>8.26</v>
      </c>
      <c r="J188" s="53">
        <f t="shared" si="32"/>
        <v>768.41297387500003</v>
      </c>
      <c r="K188" s="38">
        <f t="shared" si="33"/>
        <v>0.90695438102941184</v>
      </c>
      <c r="L188" s="38">
        <f t="shared" si="34"/>
        <v>0.90401526338235294</v>
      </c>
      <c r="M188" s="57">
        <f t="shared" si="35"/>
        <v>-2.4982499999999845</v>
      </c>
      <c r="N188" s="18">
        <f t="shared" si="36"/>
        <v>2.9391176470588976E-3</v>
      </c>
    </row>
    <row r="189" spans="1:14" ht="15.75" customHeight="1" x14ac:dyDescent="0.25">
      <c r="A189" s="34">
        <v>875</v>
      </c>
      <c r="B189" s="13">
        <f>IF(A189&lt;5,0.99,'tax and shipping settings'!$B$2)</f>
        <v>1.27</v>
      </c>
      <c r="C189" s="11">
        <f>(A189+B189)*'tax and shipping settings'!$B$1</f>
        <v>73.168545000000009</v>
      </c>
      <c r="D189" s="13">
        <f t="shared" si="28"/>
        <v>50</v>
      </c>
      <c r="E189" s="13">
        <f t="shared" si="29"/>
        <v>24.035963625000001</v>
      </c>
      <c r="F189" s="11">
        <v>7</v>
      </c>
      <c r="G189" s="14">
        <f t="shared" si="30"/>
        <v>795.23403637499996</v>
      </c>
      <c r="H189" s="13">
        <f t="shared" si="37"/>
        <v>74.004213625000006</v>
      </c>
      <c r="I189" s="11">
        <v>8.26</v>
      </c>
      <c r="J189" s="14">
        <f t="shared" si="32"/>
        <v>792.73578637499998</v>
      </c>
      <c r="K189" s="18">
        <f t="shared" si="33"/>
        <v>0.90883889871428569</v>
      </c>
      <c r="L189" s="18">
        <f t="shared" si="34"/>
        <v>0.90598375585714286</v>
      </c>
      <c r="M189" s="17">
        <f t="shared" si="35"/>
        <v>-2.4982499999999845</v>
      </c>
      <c r="N189" s="18">
        <f t="shared" si="36"/>
        <v>2.8551428571428339E-3</v>
      </c>
    </row>
    <row r="190" spans="1:14" ht="15.75" customHeight="1" x14ac:dyDescent="0.25">
      <c r="A190" s="68">
        <v>900</v>
      </c>
      <c r="B190" s="54">
        <f>IF(A190&lt;5,0.99,'tax and shipping settings'!$B$2)</f>
        <v>1.27</v>
      </c>
      <c r="C190" s="55">
        <f>(A190+B190)*'tax and shipping settings'!$B$1</f>
        <v>75.256045</v>
      </c>
      <c r="D190" s="54">
        <f t="shared" si="28"/>
        <v>50</v>
      </c>
      <c r="E190" s="54">
        <f t="shared" si="29"/>
        <v>24.713151125</v>
      </c>
      <c r="F190" s="56">
        <v>7</v>
      </c>
      <c r="G190" s="53">
        <f t="shared" si="30"/>
        <v>819.55684887500001</v>
      </c>
      <c r="H190" s="54">
        <f t="shared" si="37"/>
        <v>74.681401125000008</v>
      </c>
      <c r="I190" s="67">
        <v>8.26</v>
      </c>
      <c r="J190" s="53">
        <f t="shared" si="32"/>
        <v>817.05859887500003</v>
      </c>
      <c r="K190" s="38">
        <f t="shared" si="33"/>
        <v>0.91061872097222218</v>
      </c>
      <c r="L190" s="38">
        <f t="shared" si="34"/>
        <v>0.90784288763888887</v>
      </c>
      <c r="M190" s="57">
        <f t="shared" si="35"/>
        <v>-2.4982499999999845</v>
      </c>
      <c r="N190" s="18">
        <f t="shared" si="36"/>
        <v>2.7758333333333107E-3</v>
      </c>
    </row>
    <row r="191" spans="1:14" ht="15.75" customHeight="1" x14ac:dyDescent="0.25">
      <c r="A191" s="34">
        <v>925</v>
      </c>
      <c r="B191" s="13">
        <f>IF(A191&lt;5,0.99,'tax and shipping settings'!$B$2)</f>
        <v>1.27</v>
      </c>
      <c r="C191" s="11">
        <f>(A191+B191)*'tax and shipping settings'!$B$1</f>
        <v>77.343545000000006</v>
      </c>
      <c r="D191" s="13">
        <f t="shared" si="28"/>
        <v>50</v>
      </c>
      <c r="E191" s="13">
        <f t="shared" si="29"/>
        <v>25.390338625000002</v>
      </c>
      <c r="F191" s="11">
        <v>7</v>
      </c>
      <c r="G191" s="14">
        <f t="shared" si="30"/>
        <v>843.87966137499996</v>
      </c>
      <c r="H191" s="13">
        <f t="shared" si="37"/>
        <v>75.358588624999996</v>
      </c>
      <c r="I191" s="11">
        <v>8.26</v>
      </c>
      <c r="J191" s="14">
        <f t="shared" si="32"/>
        <v>841.38141137499997</v>
      </c>
      <c r="K191" s="18">
        <f t="shared" si="33"/>
        <v>0.91230233662162152</v>
      </c>
      <c r="L191" s="18">
        <f t="shared" si="34"/>
        <v>0.90960152581081077</v>
      </c>
      <c r="M191" s="17">
        <f t="shared" si="35"/>
        <v>-2.4982499999999845</v>
      </c>
      <c r="N191" s="18">
        <f t="shared" si="36"/>
        <v>2.7008108108107498E-3</v>
      </c>
    </row>
    <row r="192" spans="1:14" ht="15.75" customHeight="1" x14ac:dyDescent="0.25">
      <c r="A192" s="68">
        <v>950</v>
      </c>
      <c r="B192" s="54">
        <f>IF(A192&lt;5,0.99,'tax and shipping settings'!$B$2)</f>
        <v>1.27</v>
      </c>
      <c r="C192" s="55">
        <f>(A192+B192)*'tax and shipping settings'!$B$1</f>
        <v>79.431044999999997</v>
      </c>
      <c r="D192" s="54">
        <f t="shared" si="28"/>
        <v>50</v>
      </c>
      <c r="E192" s="54">
        <f t="shared" si="29"/>
        <v>26.067526125000004</v>
      </c>
      <c r="F192" s="56">
        <v>7</v>
      </c>
      <c r="G192" s="53">
        <f t="shared" si="30"/>
        <v>868.20247387500001</v>
      </c>
      <c r="H192" s="54">
        <f t="shared" si="37"/>
        <v>76.035776124999998</v>
      </c>
      <c r="I192" s="67">
        <v>8.26</v>
      </c>
      <c r="J192" s="53">
        <f t="shared" si="32"/>
        <v>865.70422387500003</v>
      </c>
      <c r="K192" s="38">
        <f t="shared" si="33"/>
        <v>0.91389734092105268</v>
      </c>
      <c r="L192" s="38">
        <f t="shared" si="34"/>
        <v>0.91126760407894736</v>
      </c>
      <c r="M192" s="57">
        <f t="shared" si="35"/>
        <v>-2.4982499999999845</v>
      </c>
      <c r="N192" s="18">
        <f t="shared" si="36"/>
        <v>2.6297368421053235E-3</v>
      </c>
    </row>
    <row r="193" spans="1:14" ht="15.75" customHeight="1" x14ac:dyDescent="0.25">
      <c r="A193" s="34">
        <v>975</v>
      </c>
      <c r="B193" s="13">
        <f>IF(A193&lt;5,0.99,'tax and shipping settings'!$B$2)</f>
        <v>1.27</v>
      </c>
      <c r="C193" s="11">
        <f>(A193+B193)*'tax and shipping settings'!$B$1</f>
        <v>81.518545000000003</v>
      </c>
      <c r="D193" s="13">
        <f t="shared" si="28"/>
        <v>50</v>
      </c>
      <c r="E193" s="13">
        <f t="shared" si="29"/>
        <v>26.744713624999999</v>
      </c>
      <c r="F193" s="11">
        <v>7</v>
      </c>
      <c r="G193" s="14">
        <f t="shared" si="30"/>
        <v>892.52528637499995</v>
      </c>
      <c r="H193" s="13">
        <f t="shared" si="37"/>
        <v>76.712963625</v>
      </c>
      <c r="I193" s="11">
        <v>8.26</v>
      </c>
      <c r="J193" s="14">
        <f t="shared" si="32"/>
        <v>890.02703637499997</v>
      </c>
      <c r="K193" s="18">
        <f t="shared" si="33"/>
        <v>0.91541055012820505</v>
      </c>
      <c r="L193" s="18">
        <f t="shared" si="34"/>
        <v>0.91284824243589735</v>
      </c>
      <c r="M193" s="17">
        <f t="shared" si="35"/>
        <v>-2.4982499999999845</v>
      </c>
      <c r="N193" s="18">
        <f t="shared" si="36"/>
        <v>2.5623076923076971E-3</v>
      </c>
    </row>
    <row r="194" spans="1:14" ht="15.75" customHeight="1" x14ac:dyDescent="0.25">
      <c r="A194" s="68">
        <v>1000</v>
      </c>
      <c r="B194" s="54">
        <f>IF(A194&lt;5,0.99,'tax and shipping settings'!$B$2)</f>
        <v>1.27</v>
      </c>
      <c r="C194" s="55">
        <f>(A194+B194)*'tax and shipping settings'!$B$1</f>
        <v>83.606045000000009</v>
      </c>
      <c r="D194" s="54">
        <f t="shared" si="28"/>
        <v>50</v>
      </c>
      <c r="E194" s="54">
        <f t="shared" si="29"/>
        <v>27.421901125000002</v>
      </c>
      <c r="F194" s="56">
        <v>7</v>
      </c>
      <c r="G194" s="53">
        <f t="shared" si="30"/>
        <v>916.84809887500001</v>
      </c>
      <c r="H194" s="54">
        <f t="shared" si="37"/>
        <v>77.390151125000003</v>
      </c>
      <c r="I194" s="67">
        <v>8.26</v>
      </c>
      <c r="J194" s="53">
        <f t="shared" si="32"/>
        <v>914.34984887500002</v>
      </c>
      <c r="K194" s="38">
        <f t="shared" si="33"/>
        <v>0.91684809887499996</v>
      </c>
      <c r="L194" s="38">
        <f t="shared" si="34"/>
        <v>0.91434984887500004</v>
      </c>
      <c r="M194" s="57">
        <f t="shared" si="35"/>
        <v>-2.4982499999999845</v>
      </c>
      <c r="N194" s="18">
        <f t="shared" si="36"/>
        <v>2.4982499999999241E-3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"/>
  <sheetViews>
    <sheetView tabSelected="1" workbookViewId="0"/>
  </sheetViews>
  <sheetFormatPr defaultColWidth="10.109375" defaultRowHeight="15" customHeight="1" x14ac:dyDescent="0.2"/>
  <cols>
    <col min="1" max="1" width="11.44140625" customWidth="1"/>
  </cols>
  <sheetData>
    <row r="1" spans="1:4" x14ac:dyDescent="0.2">
      <c r="A1" s="69" t="s">
        <v>15</v>
      </c>
      <c r="B1" s="70">
        <v>8.3500000000000005E-2</v>
      </c>
      <c r="D1" s="69" t="s">
        <v>16</v>
      </c>
    </row>
    <row r="2" spans="1:4" x14ac:dyDescent="0.2">
      <c r="A2" s="69" t="s">
        <v>17</v>
      </c>
      <c r="B2" s="50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FeeSchedule</vt:lpstr>
      <vt:lpstr>tax and shipping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Almeida</cp:lastModifiedBy>
  <dcterms:modified xsi:type="dcterms:W3CDTF">2026-05-07T22:32:44Z</dcterms:modified>
</cp:coreProperties>
</file>